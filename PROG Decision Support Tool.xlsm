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0116"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billsheng/Downloads/"/>
    </mc:Choice>
  </mc:AlternateContent>
  <bookViews>
    <workbookView xWindow="0" yWindow="460" windowWidth="28800" windowHeight="16540" activeTab="1" xr2:uid="{135E8550-1AE9-417F-B6E4-02BC6654DC12}"/>
  </bookViews>
  <sheets>
    <sheet name="Communications" sheetId="1" r:id="rId1"/>
    <sheet name="Task Manager" sheetId="5" r:id="rId2"/>
    <sheet name="Scheduling" sheetId="10" r:id="rId3"/>
    <sheet name="Sheet3" sheetId="12" state="hidden" r:id="rId4"/>
  </sheets>
  <definedNames>
    <definedName name="Bhoo">Table3[Name]</definedName>
    <definedName name="Indu">Table3[[#All],[Name]]</definedName>
    <definedName name="Indusha">Table3[Name]</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0" l="1"/>
  <c r="C4" i="10"/>
  <c r="C5" i="10"/>
  <c r="C6" i="10"/>
  <c r="C7" i="10"/>
  <c r="D7" i="10" s="1"/>
  <c r="C8" i="10"/>
  <c r="C9" i="10"/>
  <c r="C10" i="10"/>
  <c r="C11" i="10"/>
  <c r="D11" i="10" s="1"/>
  <c r="C12" i="10"/>
  <c r="C13" i="10"/>
  <c r="C14" i="10"/>
  <c r="D14" i="10" s="1"/>
  <c r="C15" i="10"/>
  <c r="D15" i="10" s="1"/>
  <c r="C16" i="10"/>
  <c r="C17" i="10"/>
  <c r="C18" i="10"/>
  <c r="D18" i="10" s="1"/>
  <c r="C19" i="10"/>
  <c r="D19" i="10" s="1"/>
  <c r="C20" i="10"/>
  <c r="C21" i="10"/>
  <c r="C22" i="10"/>
  <c r="D22" i="10" s="1"/>
  <c r="C23" i="10"/>
  <c r="D23" i="10" s="1"/>
  <c r="B3" i="10"/>
  <c r="B4" i="10"/>
  <c r="B5" i="10"/>
  <c r="B6" i="10"/>
  <c r="B7" i="10"/>
  <c r="B8" i="10"/>
  <c r="D8" i="10" s="1"/>
  <c r="B9" i="10"/>
  <c r="B10" i="10"/>
  <c r="B11" i="10"/>
  <c r="B12" i="10"/>
  <c r="B13" i="10"/>
  <c r="B14" i="10"/>
  <c r="B15" i="10"/>
  <c r="B16" i="10"/>
  <c r="B17" i="10"/>
  <c r="B18" i="10"/>
  <c r="B19" i="10"/>
  <c r="B20" i="10"/>
  <c r="B21" i="10"/>
  <c r="B22" i="10"/>
  <c r="B23" i="10"/>
  <c r="A3" i="10"/>
  <c r="A4" i="10"/>
  <c r="A5" i="10"/>
  <c r="A6" i="10"/>
  <c r="A7" i="10"/>
  <c r="A8" i="10"/>
  <c r="A9" i="10"/>
  <c r="A10" i="10"/>
  <c r="A11" i="10"/>
  <c r="A12" i="10"/>
  <c r="A13" i="10"/>
  <c r="A14" i="10"/>
  <c r="A15" i="10"/>
  <c r="A16" i="10"/>
  <c r="A17" i="10"/>
  <c r="A18" i="10"/>
  <c r="A19" i="10"/>
  <c r="A20" i="10"/>
  <c r="A21" i="10"/>
  <c r="A22" i="10"/>
  <c r="A23" i="10"/>
  <c r="D3" i="10"/>
  <c r="D4" i="10"/>
  <c r="D21" i="10" l="1"/>
  <c r="D17" i="10"/>
  <c r="D13" i="10"/>
  <c r="D5" i="10"/>
  <c r="D20" i="10"/>
  <c r="D16" i="10"/>
  <c r="D12" i="10"/>
  <c r="D9" i="10"/>
  <c r="D10" i="10"/>
  <c r="D6" i="10"/>
  <c r="Z1" i="10"/>
  <c r="G1" i="10"/>
  <c r="H1" i="10" s="1"/>
  <c r="I1" i="10" s="1"/>
  <c r="J1" i="10" s="1"/>
  <c r="K1" i="10" s="1"/>
  <c r="L1" i="10" s="1"/>
  <c r="M1" i="10" s="1"/>
  <c r="N1" i="10" s="1"/>
  <c r="O1" i="10" s="1"/>
  <c r="P1" i="10" s="1"/>
  <c r="Q1" i="10" s="1"/>
  <c r="R1" i="10" s="1"/>
  <c r="S1" i="10" s="1"/>
  <c r="T1" i="10" s="1"/>
  <c r="U1" i="10" s="1"/>
  <c r="V1" i="10" s="1"/>
  <c r="W1" i="10" s="1"/>
  <c r="X1" i="10" s="1"/>
  <c r="Y1" i="10" s="1"/>
  <c r="F1" i="10"/>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alcChain>
</file>

<file path=xl/sharedStrings.xml><?xml version="1.0" encoding="utf-8"?>
<sst xmlns="http://schemas.openxmlformats.org/spreadsheetml/2006/main" count="103" uniqueCount="59">
  <si>
    <t>Name</t>
  </si>
  <si>
    <t>Email</t>
  </si>
  <si>
    <t>Phone #</t>
  </si>
  <si>
    <t>Task</t>
  </si>
  <si>
    <t>Start Date</t>
  </si>
  <si>
    <t>Progress</t>
  </si>
  <si>
    <t>Assigned Member</t>
  </si>
  <si>
    <t>Bhoomika</t>
  </si>
  <si>
    <t>bsood@edu.uwaterloo.ca</t>
  </si>
  <si>
    <t>Nimisha</t>
  </si>
  <si>
    <t>Bill</t>
  </si>
  <si>
    <t xml:space="preserve">End Date </t>
  </si>
  <si>
    <t># of Workdays</t>
  </si>
  <si>
    <t>Morning</t>
  </si>
  <si>
    <t>Afternoon</t>
  </si>
  <si>
    <t>Evening</t>
  </si>
  <si>
    <t>Night</t>
  </si>
  <si>
    <t>Indusha</t>
  </si>
  <si>
    <t>Tuesday</t>
  </si>
  <si>
    <t>Wednesday</t>
  </si>
  <si>
    <t>Thursday</t>
  </si>
  <si>
    <t>Friday</t>
  </si>
  <si>
    <t>Saturday</t>
  </si>
  <si>
    <t>905 921 1111</t>
  </si>
  <si>
    <t>im2semba@uwaterloo.ca</t>
  </si>
  <si>
    <t>905 677 1111</t>
  </si>
  <si>
    <t>Monday</t>
  </si>
  <si>
    <t>905 977 1234</t>
  </si>
  <si>
    <t>billS@edu.uwaterloo.ca</t>
  </si>
  <si>
    <t>905 342 1112</t>
  </si>
  <si>
    <t>nimishaS@edu.uwaterloo.ca</t>
  </si>
  <si>
    <t>v@edu.uwaterloo.ca</t>
  </si>
  <si>
    <t>Bob</t>
  </si>
  <si>
    <t>Task Description</t>
  </si>
  <si>
    <t>End Date</t>
  </si>
  <si>
    <t>Pending</t>
  </si>
  <si>
    <t>Completed</t>
  </si>
  <si>
    <t>On Going</t>
  </si>
  <si>
    <t>Completed By</t>
  </si>
  <si>
    <t xml:space="preserve">On Going </t>
  </si>
  <si>
    <t>ANALYZING</t>
  </si>
  <si>
    <t>TOOL</t>
  </si>
  <si>
    <t>rubric</t>
  </si>
  <si>
    <t>activity log</t>
  </si>
  <si>
    <t>Presenation</t>
  </si>
  <si>
    <t>Created a powerpoint presentation explaning the tool created</t>
  </si>
  <si>
    <t>Project report</t>
  </si>
  <si>
    <t>consisting of the body and executive summary</t>
  </si>
  <si>
    <t>design</t>
  </si>
  <si>
    <t xml:space="preserve">research </t>
  </si>
  <si>
    <t>resource management</t>
  </si>
  <si>
    <t>using different resources available to organize the project</t>
  </si>
  <si>
    <t>create a  process plan and strategies to make sure the group is as efffective as possible</t>
  </si>
  <si>
    <t xml:space="preserve">in depth analysis of the content </t>
  </si>
  <si>
    <t>creating an assessment to aid us in grading other projects</t>
  </si>
  <si>
    <t xml:space="preserve">Editing </t>
  </si>
  <si>
    <t>Communication</t>
  </si>
  <si>
    <t>Organizing</t>
  </si>
  <si>
    <t>905 657 9078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</si>
</sst>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F800]dddd\,\ mmmm\ dd\,\ yyyy"/>
  </numFmts>
  <fonts count="10">
    <font>
      <sz val="11"/>
      <color theme="1"/>
      <name val="Calibri"/>
      <family val="2"/>
      <scheme val="minor"/>
    </font>
    <font>
      <b/>
      <sz val="11"/>
      <color rgb="FF3F3F3F"/>
      <name val="Calibri"/>
      <family val="2"/>
      <scheme val="minor"/>
    </font>
    <font>
      <b/>
      <sz val="11"/>
      <color theme="0"/>
      <name val="Calibri"/>
      <family val="2"/>
      <scheme val="minor"/>
    </font>
    <font>
      <b/>
      <sz val="12"/>
      <color rgb="FF3F3F3F"/>
      <name val="Calibri"/>
      <family val="2"/>
      <scheme val="minor"/>
    </font>
    <font>
      <b/>
      <sz val="14"/>
      <color rgb="FF3F3F3F"/>
      <name val="Calibri"/>
      <family val="2"/>
      <scheme val="minor"/>
    </font>
    <font>
      <b/>
      <sz val="16"/>
      <color rgb="FF3F3F3F"/>
      <name val="Calibri"/>
      <family val="2"/>
      <scheme val="minor"/>
    </font>
    <font>
      <b/>
      <sz val="18"/>
      <color theme="0"/>
      <name val="Calibri"/>
      <family val="2"/>
      <scheme val="minor"/>
    </font>
    <font>
      <b/>
      <sz val="14"/>
      <color theme="0"/>
      <name val="Calibri"/>
      <family val="2"/>
      <scheme val="minor"/>
    </font>
    <font>
      <sz val="14"/>
      <color rgb="FF3F3F3F"/>
      <name val="Calibri"/>
      <family val="2"/>
      <scheme val="minor"/>
    </font>
    <font>
      <b/>
      <sz val="16"/>
      <color theme="0"/>
      <name val="Calibri"/>
      <family val="2"/>
      <scheme val="minor"/>
    </font>
  </fonts>
  <fills count="8">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2" tint="-0.499984740745262"/>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9" tint="-0.499984740745262"/>
        <bgColor indexed="64"/>
      </patternFill>
    </fill>
  </fills>
  <borders count="3">
    <border>
      <left/>
      <right/>
      <top/>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s>
  <cellStyleXfs count="2">
    <xf numFmtId="0" fontId="0" fillId="0" borderId="0"/>
    <xf numFmtId="0" fontId="1" fillId="2" borderId="1" applyNumberFormat="0" applyAlignment="0" applyProtection="0"/>
  </cellStyleXfs>
  <cellXfs count="21">
    <xf numFmtId="0" fontId="0" fillId="0" borderId="0" xfId="0"/>
    <xf numFmtId="0" fontId="0" fillId="0" borderId="0" xfId="0" applyNumberFormat="1"/>
    <xf numFmtId="165" fontId="0" fillId="0" borderId="0" xfId="0" applyNumberFormat="1"/>
    <xf numFmtId="0" fontId="3" fillId="2" borderId="1" xfId="1" applyFont="1"/>
    <xf numFmtId="0" fontId="4" fillId="3" borderId="1" xfId="1" applyFont="1" applyFill="1" applyAlignment="1">
      <alignment vertical="center"/>
    </xf>
    <xf numFmtId="164" fontId="4" fillId="3" borderId="1" xfId="1" applyNumberFormat="1" applyFont="1" applyFill="1" applyAlignment="1">
      <alignment vertical="center" textRotation="90"/>
    </xf>
    <xf numFmtId="0" fontId="3" fillId="2" borderId="1" xfId="1" applyFont="1" applyAlignment="1">
      <alignment horizontal="center"/>
    </xf>
    <xf numFmtId="15" fontId="3" fillId="2" borderId="1" xfId="1" applyNumberFormat="1" applyFont="1" applyAlignment="1">
      <alignment horizontal="center"/>
    </xf>
    <xf numFmtId="0" fontId="4" fillId="2" borderId="1" xfId="1" applyFont="1" applyAlignment="1">
      <alignment horizontal="center" vertical="center"/>
    </xf>
    <xf numFmtId="165" fontId="4" fillId="2" borderId="1" xfId="1" applyNumberFormat="1" applyFont="1" applyAlignment="1">
      <alignment horizontal="center" vertical="center"/>
    </xf>
    <xf numFmtId="0" fontId="5" fillId="2" borderId="1" xfId="1" applyFont="1" applyAlignment="1">
      <alignment horizontal="center" vertical="center"/>
    </xf>
    <xf numFmtId="0" fontId="6" fillId="5" borderId="1" xfId="1" applyFont="1" applyFill="1" applyAlignment="1">
      <alignment horizontal="center" vertical="center"/>
    </xf>
    <xf numFmtId="0" fontId="7" fillId="6" borderId="1" xfId="1" applyFont="1" applyFill="1" applyAlignment="1">
      <alignment horizontal="center" vertical="center"/>
    </xf>
    <xf numFmtId="0" fontId="2" fillId="7" borderId="1" xfId="1" applyFont="1" applyFill="1" applyAlignment="1">
      <alignment horizontal="center" vertical="center"/>
    </xf>
    <xf numFmtId="0" fontId="4" fillId="2" borderId="2" xfId="1" applyFont="1" applyBorder="1" applyAlignment="1">
      <alignment horizontal="center" vertical="center"/>
    </xf>
    <xf numFmtId="165" fontId="4" fillId="2" borderId="2" xfId="1" applyNumberFormat="1" applyFont="1" applyBorder="1" applyAlignment="1">
      <alignment horizontal="center" vertical="center"/>
    </xf>
    <xf numFmtId="0" fontId="5" fillId="2" borderId="1" xfId="1" applyFont="1" applyAlignment="1">
      <alignment horizontal="center" wrapText="1"/>
    </xf>
    <xf numFmtId="165" fontId="5" fillId="2" borderId="1" xfId="1" applyNumberFormat="1" applyFont="1" applyAlignment="1">
      <alignment horizontal="center" vertical="center"/>
    </xf>
    <xf numFmtId="0" fontId="8" fillId="2" borderId="1" xfId="1" applyFont="1" applyAlignment="1">
      <alignment horizontal="center" vertical="center"/>
    </xf>
    <xf numFmtId="0" fontId="8" fillId="2" borderId="1" xfId="1" applyNumberFormat="1" applyFont="1" applyAlignment="1">
      <alignment horizontal="center" vertical="center"/>
    </xf>
    <xf numFmtId="0" fontId="9" fillId="4" borderId="1" xfId="1" applyFont="1" applyFill="1" applyAlignment="1">
      <alignment horizontal="center" vertical="center"/>
    </xf>
  </cellXfs>
  <cellStyles count="2">
    <cellStyle name="Normal" xfId="0" builtinId="0"/>
    <cellStyle name="Output" xfId="1" builtinId="21"/>
  </cellStyles>
  <dxfs count="28">
    <dxf>
      <font>
        <color theme="1" tint="0.34998626667073579"/>
      </font>
      <fill>
        <patternFill>
          <bgColor theme="1" tint="0.34998626667073579"/>
        </patternFill>
      </fill>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9" tint="-0.499984740745262"/>
        </patternFill>
      </fill>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rgb="FF3F3F3F"/>
        <name val="Calibri"/>
        <family val="2"/>
        <scheme val="minor"/>
      </font>
      <numFmt numFmtId="165" formatCode="[$-F800]dddd\,\ mmmm\ dd\,\ yyyy"/>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theme="0"/>
        <name val="Calibri"/>
        <family val="2"/>
        <scheme val="minor"/>
      </font>
      <fill>
        <patternFill patternType="solid">
          <fgColor indexed="64"/>
          <bgColor rgb="FFC00000"/>
        </patternFill>
      </fill>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numFmt numFmtId="165" formatCode="[$-F800]dddd\,\ mmmm\ dd\,\ yyyy"/>
      <alignment horizontal="center" vertical="center" textRotation="0" wrapText="0" indent="0" justifyLastLine="0" shrinkToFit="0" readingOrder="0"/>
    </dxf>
    <dxf>
      <font>
        <strike val="0"/>
        <outline val="0"/>
        <shadow val="0"/>
        <u val="none"/>
        <vertAlign val="baseline"/>
        <sz val="16"/>
        <color rgb="FF3F3F3F"/>
        <name val="Calibri"/>
        <family val="2"/>
        <scheme val="minor"/>
      </font>
      <numFmt numFmtId="165" formatCode="[$-F800]dddd\,\ mmmm\ dd\,\ yyyy"/>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bottom" textRotation="0" wrapText="1"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textRotation="0" indent="0" justifyLastLine="0" shrinkToFit="0" readingOrder="0"/>
    </dxf>
    <dxf>
      <font>
        <strike val="0"/>
        <outline val="0"/>
        <shadow val="0"/>
        <u val="none"/>
        <vertAlign val="baseline"/>
        <sz val="18"/>
        <color theme="0"/>
        <name val="Calibri"/>
        <family val="2"/>
        <scheme val="minor"/>
      </font>
      <fill>
        <patternFill patternType="solid">
          <fgColor indexed="64"/>
          <bgColor theme="1" tint="4.9989318521683403E-2"/>
        </patternFill>
      </fill>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numFmt numFmtId="0" formatCode="General"/>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theme="0"/>
        <name val="Calibri"/>
        <family val="2"/>
        <scheme val="minor"/>
      </font>
      <fill>
        <patternFill patternType="solid">
          <fgColor indexed="64"/>
          <bgColor theme="2" tint="-0.499984740745262"/>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hyperlink" Target="#'Task Manager'!A1"/></Relationships>
</file>

<file path=xl/drawings/_rels/drawing2.xml.rels><?xml version="1.0" encoding="UTF-8" standalone="yes"?>
<Relationships xmlns="http://schemas.openxmlformats.org/package/2006/relationships"><Relationship Id="rId2" Type="http://schemas.openxmlformats.org/officeDocument/2006/relationships/hyperlink" Target="#Communications!A1"/><Relationship Id="rId1" Type="http://schemas.openxmlformats.org/officeDocument/2006/relationships/hyperlink" Target="#Scheduling!A1"/></Relationships>
</file>

<file path=xl/drawings/_rels/drawing3.xml.rels><?xml version="1.0" encoding="UTF-8" standalone="yes"?>
<Relationships xmlns="http://schemas.openxmlformats.org/package/2006/relationships"><Relationship Id="rId1" Type="http://schemas.openxmlformats.org/officeDocument/2006/relationships/hyperlink" Target="#'Task Manager'!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228600</xdr:colOff>
          <xdr:row>0</xdr:row>
          <xdr:rowOff>355600</xdr:rowOff>
        </xdr:from>
        <xdr:to>
          <xdr:col>11</xdr:col>
          <xdr:colOff>139700</xdr:colOff>
          <xdr:row>2</xdr:row>
          <xdr:rowOff>76200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440404</xdr:colOff>
      <xdr:row>2</xdr:row>
      <xdr:rowOff>317500</xdr:rowOff>
    </xdr:from>
    <xdr:to>
      <xdr:col>11</xdr:col>
      <xdr:colOff>378952</xdr:colOff>
      <xdr:row>5</xdr:row>
      <xdr:rowOff>61452</xdr:rowOff>
    </xdr:to>
    <xdr:sp macro="" textlink="">
      <xdr:nvSpPr>
        <xdr:cNvPr id="2" name="Speech Bubble: Rectangle 1">
          <a:extLst>
            <a:ext uri="{FF2B5EF4-FFF2-40B4-BE49-F238E27FC236}">
              <a16:creationId xmlns:a16="http://schemas.microsoft.com/office/drawing/2014/main" id="{00000000-0008-0000-0000-000002000000}"/>
            </a:ext>
          </a:extLst>
        </xdr:cNvPr>
        <xdr:cNvSpPr/>
      </xdr:nvSpPr>
      <xdr:spPr>
        <a:xfrm>
          <a:off x="11634839" y="1188065"/>
          <a:ext cx="2550242" cy="901290"/>
        </a:xfrm>
        <a:prstGeom prst="wedgeRectCallout">
          <a:avLst>
            <a:gd name="adj1" fmla="val -30704"/>
            <a:gd name="adj2" fmla="val -76306"/>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Welcome to</a:t>
          </a:r>
          <a:r>
            <a:rPr lang="en-CA" sz="1100" baseline="0"/>
            <a:t> the communications page.</a:t>
          </a:r>
        </a:p>
        <a:p>
          <a:pPr algn="l"/>
          <a:r>
            <a:rPr lang="en-CA" sz="1100" baseline="0"/>
            <a:t>Here important information regarding contact information, and availability can be stored with a userform (</a:t>
          </a:r>
          <a:r>
            <a:rPr lang="en-CA" sz="1100" b="1" baseline="0"/>
            <a:t>Add Member) </a:t>
          </a:r>
        </a:p>
        <a:p>
          <a:pPr algn="l"/>
          <a:endParaRPr lang="en-CA" sz="1100" b="1" baseline="0"/>
        </a:p>
        <a:p>
          <a:pPr algn="l"/>
          <a:endParaRPr lang="en-CA" sz="1100"/>
        </a:p>
      </xdr:txBody>
    </xdr:sp>
    <xdr:clientData/>
  </xdr:twoCellAnchor>
  <xdr:twoCellAnchor>
    <xdr:from>
      <xdr:col>8</xdr:col>
      <xdr:colOff>143386</xdr:colOff>
      <xdr:row>7</xdr:row>
      <xdr:rowOff>40966</xdr:rowOff>
    </xdr:from>
    <xdr:to>
      <xdr:col>10</xdr:col>
      <xdr:colOff>563305</xdr:colOff>
      <xdr:row>11</xdr:row>
      <xdr:rowOff>143386</xdr:rowOff>
    </xdr:to>
    <xdr:sp macro="" textlink="">
      <xdr:nvSpPr>
        <xdr:cNvPr id="4" name="Arrow: Right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12105967" y="2652660"/>
          <a:ext cx="1648951" cy="880807"/>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Click</a:t>
          </a:r>
          <a:r>
            <a:rPr lang="en-CA" sz="1100" baseline="0"/>
            <a:t> </a:t>
          </a:r>
          <a:r>
            <a:rPr lang="en-CA" sz="1100"/>
            <a:t>Go</a:t>
          </a:r>
          <a:r>
            <a:rPr lang="en-CA" sz="1100" baseline="0"/>
            <a:t> to task Manager </a:t>
          </a:r>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104178</xdr:colOff>
      <xdr:row>1</xdr:row>
      <xdr:rowOff>223242</xdr:rowOff>
    </xdr:from>
    <xdr:to>
      <xdr:col>14</xdr:col>
      <xdr:colOff>312538</xdr:colOff>
      <xdr:row>3</xdr:row>
      <xdr:rowOff>253008</xdr:rowOff>
    </xdr:to>
    <xdr:sp macro="" textlink="">
      <xdr:nvSpPr>
        <xdr:cNvPr id="4" name="Arrow: Striped Right 3">
          <a:extLst>
            <a:ext uri="{FF2B5EF4-FFF2-40B4-BE49-F238E27FC236}">
              <a16:creationId xmlns:a16="http://schemas.microsoft.com/office/drawing/2014/main" id="{00000000-0008-0000-0100-000004000000}"/>
            </a:ext>
          </a:extLst>
        </xdr:cNvPr>
        <xdr:cNvSpPr/>
      </xdr:nvSpPr>
      <xdr:spPr>
        <a:xfrm>
          <a:off x="23217186" y="759023"/>
          <a:ext cx="3348633" cy="1905001"/>
        </a:xfrm>
        <a:prstGeom prst="striped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7</xdr:col>
      <xdr:colOff>14882</xdr:colOff>
      <xdr:row>1</xdr:row>
      <xdr:rowOff>878086</xdr:rowOff>
    </xdr:from>
    <xdr:to>
      <xdr:col>9</xdr:col>
      <xdr:colOff>431601</xdr:colOff>
      <xdr:row>3</xdr:row>
      <xdr:rowOff>892969</xdr:rowOff>
    </xdr:to>
    <xdr:sp macro="" textlink="">
      <xdr:nvSpPr>
        <xdr:cNvPr id="3" name="Arrow: Striped Right 2">
          <a:extLst>
            <a:ext uri="{FF2B5EF4-FFF2-40B4-BE49-F238E27FC236}">
              <a16:creationId xmlns:a16="http://schemas.microsoft.com/office/drawing/2014/main" id="{00000000-0008-0000-0100-000003000000}"/>
            </a:ext>
          </a:extLst>
        </xdr:cNvPr>
        <xdr:cNvSpPr/>
      </xdr:nvSpPr>
      <xdr:spPr>
        <a:xfrm>
          <a:off x="13915429" y="1413867"/>
          <a:ext cx="3363516" cy="1890118"/>
        </a:xfrm>
        <a:prstGeom prst="striped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editAs="oneCell">
        <xdr:from>
          <xdr:col>13</xdr:col>
          <xdr:colOff>482600</xdr:colOff>
          <xdr:row>1</xdr:row>
          <xdr:rowOff>825500</xdr:rowOff>
        </xdr:from>
        <xdr:to>
          <xdr:col>13</xdr:col>
          <xdr:colOff>2908300</xdr:colOff>
          <xdr:row>2</xdr:row>
          <xdr:rowOff>330200</xdr:rowOff>
        </xdr:to>
        <xdr:sp macro="" textlink="">
          <xdr:nvSpPr>
            <xdr:cNvPr id="3074" name="CommandButton1"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177800</xdr:colOff>
          <xdr:row>3</xdr:row>
          <xdr:rowOff>25400</xdr:rowOff>
        </xdr:from>
        <xdr:to>
          <xdr:col>0</xdr:col>
          <xdr:colOff>2146300</xdr:colOff>
          <xdr:row>4</xdr:row>
          <xdr:rowOff>0</xdr:rowOff>
        </xdr:to>
        <xdr:sp macro="" textlink="">
          <xdr:nvSpPr>
            <xdr:cNvPr id="3077" name="CommandButton3"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406400</xdr:colOff>
          <xdr:row>2</xdr:row>
          <xdr:rowOff>292100</xdr:rowOff>
        </xdr:from>
        <xdr:to>
          <xdr:col>8</xdr:col>
          <xdr:colOff>1828800</xdr:colOff>
          <xdr:row>3</xdr:row>
          <xdr:rowOff>330200</xdr:rowOff>
        </xdr:to>
        <xdr:sp macro="" textlink="">
          <xdr:nvSpPr>
            <xdr:cNvPr id="3075" name="CommandButton2"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1</xdr:row>
          <xdr:rowOff>139700</xdr:rowOff>
        </xdr:from>
        <xdr:to>
          <xdr:col>0</xdr:col>
          <xdr:colOff>2171700</xdr:colOff>
          <xdr:row>2</xdr:row>
          <xdr:rowOff>165100</xdr:rowOff>
        </xdr:to>
        <xdr:sp macro="" textlink="">
          <xdr:nvSpPr>
            <xdr:cNvPr id="3080" name="CommandButton4"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1488281</xdr:colOff>
      <xdr:row>9</xdr:row>
      <xdr:rowOff>111125</xdr:rowOff>
    </xdr:from>
    <xdr:to>
      <xdr:col>0</xdr:col>
      <xdr:colOff>2587625</xdr:colOff>
      <xdr:row>12</xdr:row>
      <xdr:rowOff>51594</xdr:rowOff>
    </xdr:to>
    <xdr:sp macro="" textlink="">
      <xdr:nvSpPr>
        <xdr:cNvPr id="5" name="Arrow: Right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1488281" y="8207375"/>
          <a:ext cx="1099344" cy="511969"/>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Scheduling</a:t>
          </a:r>
        </a:p>
      </xdr:txBody>
    </xdr:sp>
    <xdr:clientData/>
  </xdr:twoCellAnchor>
  <xdr:twoCellAnchor>
    <xdr:from>
      <xdr:col>0</xdr:col>
      <xdr:colOff>63499</xdr:colOff>
      <xdr:row>9</xdr:row>
      <xdr:rowOff>111125</xdr:rowOff>
    </xdr:from>
    <xdr:to>
      <xdr:col>0</xdr:col>
      <xdr:colOff>1369216</xdr:colOff>
      <xdr:row>12</xdr:row>
      <xdr:rowOff>63500</xdr:rowOff>
    </xdr:to>
    <xdr:sp macro="" textlink="">
      <xdr:nvSpPr>
        <xdr:cNvPr id="18" name="Arrow: Right 17">
          <a:hlinkClick xmlns:r="http://schemas.openxmlformats.org/officeDocument/2006/relationships" r:id="rId2"/>
          <a:extLst>
            <a:ext uri="{FF2B5EF4-FFF2-40B4-BE49-F238E27FC236}">
              <a16:creationId xmlns:a16="http://schemas.microsoft.com/office/drawing/2014/main" id="{00000000-0008-0000-0100-000012000000}"/>
            </a:ext>
          </a:extLst>
        </xdr:cNvPr>
        <xdr:cNvSpPr/>
      </xdr:nvSpPr>
      <xdr:spPr>
        <a:xfrm rot="10800000" flipV="1">
          <a:off x="63499" y="8207375"/>
          <a:ext cx="1305717" cy="523875"/>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Communications</a:t>
          </a:r>
        </a:p>
      </xdr:txBody>
    </xdr:sp>
    <xdr:clientData/>
  </xdr:twoCellAnchor>
  <xdr:twoCellAnchor>
    <xdr:from>
      <xdr:col>0</xdr:col>
      <xdr:colOff>190500</xdr:colOff>
      <xdr:row>4</xdr:row>
      <xdr:rowOff>682625</xdr:rowOff>
    </xdr:from>
    <xdr:to>
      <xdr:col>0</xdr:col>
      <xdr:colOff>2190750</xdr:colOff>
      <xdr:row>7</xdr:row>
      <xdr:rowOff>476250</xdr:rowOff>
    </xdr:to>
    <xdr:sp macro="" textlink="">
      <xdr:nvSpPr>
        <xdr:cNvPr id="6" name="Speech Bubble: Rectangle 5">
          <a:extLst>
            <a:ext uri="{FF2B5EF4-FFF2-40B4-BE49-F238E27FC236}">
              <a16:creationId xmlns:a16="http://schemas.microsoft.com/office/drawing/2014/main" id="{00000000-0008-0000-0100-000006000000}"/>
            </a:ext>
          </a:extLst>
        </xdr:cNvPr>
        <xdr:cNvSpPr/>
      </xdr:nvSpPr>
      <xdr:spPr>
        <a:xfrm>
          <a:off x="190500" y="4397375"/>
          <a:ext cx="2000250" cy="2460625"/>
        </a:xfrm>
        <a:prstGeom prst="wedgeRectCallout">
          <a:avLst>
            <a:gd name="adj1" fmla="val -22420"/>
            <a:gd name="adj2" fmla="val -85326"/>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Welcome</a:t>
          </a:r>
          <a:r>
            <a:rPr lang="en-CA" sz="1100" baseline="0"/>
            <a:t> to task manager. </a:t>
          </a:r>
        </a:p>
        <a:p>
          <a:pPr algn="l"/>
          <a:endParaRPr lang="en-CA" sz="1100" baseline="0"/>
        </a:p>
        <a:p>
          <a:pPr algn="l"/>
          <a:r>
            <a:rPr lang="en-CA" sz="1100" baseline="0"/>
            <a:t>The </a:t>
          </a:r>
          <a:r>
            <a:rPr lang="en-CA" sz="1100" b="1" baseline="0"/>
            <a:t>task inputer </a:t>
          </a:r>
          <a:r>
            <a:rPr lang="en-CA" sz="1100" baseline="0"/>
            <a:t>button allows you to add any task you are planning to work on. </a:t>
          </a:r>
        </a:p>
        <a:p>
          <a:pPr algn="l"/>
          <a:endParaRPr lang="en-CA" sz="1100" baseline="0"/>
        </a:p>
        <a:p>
          <a:pPr algn="l"/>
          <a:r>
            <a:rPr lang="en-CA" sz="1100" baseline="0"/>
            <a:t>Select any row in this sheet and click </a:t>
          </a:r>
          <a:r>
            <a:rPr lang="en-CA" sz="1100" b="1" baseline="0"/>
            <a:t>erase row </a:t>
          </a:r>
          <a:r>
            <a:rPr lang="en-CA" sz="1100" baseline="0"/>
            <a:t>to delete it, at any time if needed. </a:t>
          </a:r>
        </a:p>
        <a:p>
          <a:pPr algn="l"/>
          <a:endParaRPr lang="en-CA" sz="1100"/>
        </a:p>
        <a:p>
          <a:pPr algn="l"/>
          <a:r>
            <a:rPr lang="en-CA" sz="1100"/>
            <a:t>Use the </a:t>
          </a:r>
          <a:r>
            <a:rPr lang="en-CA" sz="1100" b="1"/>
            <a:t>move</a:t>
          </a:r>
          <a:r>
            <a:rPr lang="en-CA" sz="1100"/>
            <a:t> buttons to move tasks to</a:t>
          </a:r>
          <a:r>
            <a:rPr lang="en-CA" sz="1100" baseline="0"/>
            <a:t> on going and completed </a:t>
          </a:r>
          <a:endParaRPr lang="en-CA" sz="1100"/>
        </a:p>
      </xdr:txBody>
    </xdr:sp>
    <xdr:clientData/>
  </xdr:twoCellAnchor>
  <xdr:twoCellAnchor>
    <xdr:from>
      <xdr:col>7</xdr:col>
      <xdr:colOff>0</xdr:colOff>
      <xdr:row>7</xdr:row>
      <xdr:rowOff>317500</xdr:rowOff>
    </xdr:from>
    <xdr:to>
      <xdr:col>8</xdr:col>
      <xdr:colOff>1651001</xdr:colOff>
      <xdr:row>20</xdr:row>
      <xdr:rowOff>31750</xdr:rowOff>
    </xdr:to>
    <xdr:sp macro="" textlink="">
      <xdr:nvSpPr>
        <xdr:cNvPr id="19" name="Speech Bubble: Rectangle 18">
          <a:extLst>
            <a:ext uri="{FF2B5EF4-FFF2-40B4-BE49-F238E27FC236}">
              <a16:creationId xmlns:a16="http://schemas.microsoft.com/office/drawing/2014/main" id="{00000000-0008-0000-0100-000013000000}"/>
            </a:ext>
          </a:extLst>
        </xdr:cNvPr>
        <xdr:cNvSpPr/>
      </xdr:nvSpPr>
      <xdr:spPr>
        <a:xfrm>
          <a:off x="15033625" y="6699250"/>
          <a:ext cx="2428876" cy="3524250"/>
        </a:xfrm>
        <a:prstGeom prst="wedgeRectCallout">
          <a:avLst>
            <a:gd name="adj1" fmla="val -98657"/>
            <a:gd name="adj2" fmla="val -53225"/>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TRY</a:t>
          </a:r>
          <a:r>
            <a:rPr lang="en-CA" sz="1100" baseline="0"/>
            <a:t> THIS:</a:t>
          </a:r>
        </a:p>
        <a:p>
          <a:pPr algn="l"/>
          <a:endParaRPr lang="en-CA" sz="1100" baseline="0"/>
        </a:p>
        <a:p>
          <a:pPr algn="l"/>
          <a:r>
            <a:rPr lang="en-CA" sz="1100" baseline="0"/>
            <a:t>You can change the assigned member with the drop down menu (linked to communications,  add a member if to see the change). </a:t>
          </a:r>
        </a:p>
        <a:p>
          <a:pPr algn="l"/>
          <a:endParaRPr lang="en-CA" sz="1100" baseline="0"/>
        </a:p>
        <a:p>
          <a:pPr algn="l"/>
          <a:r>
            <a:rPr lang="en-CA" sz="1100" baseline="0"/>
            <a:t>You can also set a task to ON GOING using the drop down menu in progress, click MOVE TO ON GOING and it will move to the next table. This method is also possible for moving on going to completed table</a:t>
          </a:r>
        </a:p>
        <a:p>
          <a:pPr algn="l"/>
          <a:endParaRPr lang="en-CA" sz="1100" baseline="0"/>
        </a:p>
        <a:p>
          <a:pPr algn="l"/>
          <a:r>
            <a:rPr lang="en-CA" sz="1100"/>
            <a:t>Note:</a:t>
          </a:r>
          <a:r>
            <a:rPr lang="en-CA" sz="1100" baseline="0"/>
            <a:t> Pending means you haven't started in this case or you might be waiting to make a decision to keep the task (HINT TRY ERASE ROW IF YOU WANT).</a:t>
          </a:r>
          <a:endParaRPr lang="en-CA" sz="1100"/>
        </a:p>
        <a:p>
          <a:pPr algn="l"/>
          <a:endParaRPr lang="en-CA"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749300</xdr:colOff>
      <xdr:row>27</xdr:row>
      <xdr:rowOff>50800</xdr:rowOff>
    </xdr:from>
    <xdr:to>
      <xdr:col>1</xdr:col>
      <xdr:colOff>533400</xdr:colOff>
      <xdr:row>29</xdr:row>
      <xdr:rowOff>76200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flipH="1">
          <a:off x="749300" y="6629400"/>
          <a:ext cx="1143000" cy="406400"/>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Task Manager</a:t>
          </a:r>
        </a:p>
      </xdr:txBody>
    </xdr:sp>
    <xdr:clientData/>
  </xdr:twoCellAnchor>
  <xdr:twoCellAnchor>
    <xdr:from>
      <xdr:col>6</xdr:col>
      <xdr:colOff>50800</xdr:colOff>
      <xdr:row>27</xdr:row>
      <xdr:rowOff>114300</xdr:rowOff>
    </xdr:from>
    <xdr:to>
      <xdr:col>13</xdr:col>
      <xdr:colOff>444500</xdr:colOff>
      <xdr:row>30</xdr:row>
      <xdr:rowOff>152400</xdr:rowOff>
    </xdr:to>
    <xdr:sp macro="" textlink="">
      <xdr:nvSpPr>
        <xdr:cNvPr id="3" name="Speech Bubble: Rectangle 2">
          <a:extLst>
            <a:ext uri="{FF2B5EF4-FFF2-40B4-BE49-F238E27FC236}">
              <a16:creationId xmlns:a16="http://schemas.microsoft.com/office/drawing/2014/main" id="{00000000-0008-0000-0200-000003000000}"/>
            </a:ext>
          </a:extLst>
        </xdr:cNvPr>
        <xdr:cNvSpPr/>
      </xdr:nvSpPr>
      <xdr:spPr>
        <a:xfrm>
          <a:off x="5486400" y="6692900"/>
          <a:ext cx="3695700" cy="609600"/>
        </a:xfrm>
        <a:prstGeom prst="wedgeRectCallout">
          <a:avLst>
            <a:gd name="adj1" fmla="val -58290"/>
            <a:gd name="adj2" fmla="val -95833"/>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Welcome to Scheduling.</a:t>
          </a:r>
          <a:r>
            <a:rPr lang="en-CA" sz="1100" baseline="0"/>
            <a:t> </a:t>
          </a:r>
        </a:p>
        <a:p>
          <a:pPr algn="l"/>
          <a:r>
            <a:rPr lang="en-CA" sz="1100" baseline="0"/>
            <a:t>Here you can see that your pending task (not yet started)  are displayed on an organized ghant chart, so get started!</a:t>
          </a:r>
          <a:endParaRPr lang="en-CA"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25400</xdr:colOff>
          <xdr:row>0</xdr:row>
          <xdr:rowOff>177800</xdr:rowOff>
        </xdr:from>
        <xdr:to>
          <xdr:col>7</xdr:col>
          <xdr:colOff>203200</xdr:colOff>
          <xdr:row>2</xdr:row>
          <xdr:rowOff>114300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EA67E2-8964-427F-BF0E-9720001CC637}" name="Table3" displayName="Table3" ref="A1:G6" totalsRowShown="0" headerRowDxfId="27" dataDxfId="26" headerRowCellStyle="Output" dataCellStyle="Output">
  <autoFilter ref="A1:G6" xr:uid="{C4C1D0ED-C0F3-45FF-8545-992B85F7DAE1}"/>
  <tableColumns count="7">
    <tableColumn id="1" xr3:uid="{4810BE21-46BA-42A9-90C1-3904520189D1}" name="Name" dataDxfId="25" dataCellStyle="Output"/>
    <tableColumn id="2" xr3:uid="{0D43E508-4D33-4650-9D63-BCC5A576C3FD}" name="Phone #" dataDxfId="24" dataCellStyle="Output"/>
    <tableColumn id="3" xr3:uid="{51D203DE-8CA3-4E83-B589-6D5DD2403467}" name="Email" dataDxfId="23" dataCellStyle="Output"/>
    <tableColumn id="4" xr3:uid="{85303103-B32C-42D4-896B-3DC1D7FAF6BB}" name="Morning" dataDxfId="22" dataCellStyle="Output"/>
    <tableColumn id="5" xr3:uid="{E59DFC24-754F-4A25-BB51-6077863E3C3C}" name="Afternoon" dataDxfId="21" dataCellStyle="Output"/>
    <tableColumn id="6" xr3:uid="{E0346136-9BFF-4575-9C2B-72C86AECCF87}" name="Evening" dataDxfId="20" dataCellStyle="Output"/>
    <tableColumn id="7" xr3:uid="{8B38A599-A22B-476E-A390-25CFB668A13E}" name="Night" dataDxfId="19" dataCellStyle="Outpu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34087A-18C6-4EFE-9C08-2AF2C56FD79D}" name="Table1" displayName="Table1" ref="B1:G7" totalsRowShown="0" headerRowDxfId="18" dataDxfId="17" headerRowCellStyle="Output" dataCellStyle="Output">
  <autoFilter ref="B1:G7" xr:uid="{E63BB35C-6846-47BD-840E-A3EBD3CC3F85}"/>
  <tableColumns count="6">
    <tableColumn id="1" xr3:uid="{28067B71-C995-41C1-A580-AB3713686459}" name="Task" dataDxfId="16" dataCellStyle="Output"/>
    <tableColumn id="2" xr3:uid="{6071D40E-5798-4935-9E4C-BDCDD50837A3}" name="Task Description" dataDxfId="15" dataCellStyle="Output"/>
    <tableColumn id="3" xr3:uid="{7C80B31E-E649-4AC3-BD31-9ADF82DFB3BA}" name="Start Date" dataDxfId="14" dataCellStyle="Output"/>
    <tableColumn id="4" xr3:uid="{AB4DD056-F140-46A6-983D-47911E1B8822}" name="End Date" dataDxfId="13" dataCellStyle="Output"/>
    <tableColumn id="5" xr3:uid="{68B30374-6A24-40E3-B205-6E60009A398F}" name="Assigned Member" dataDxfId="12" dataCellStyle="Output"/>
    <tableColumn id="7" xr3:uid="{6167CCDD-B46F-4638-8D3A-87773A4BB71B}" name="Progress" dataDxfId="11" dataCellStyle="Outpu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1328F0A-E81A-4085-8BAB-B9F36A35F973}" name="Table15" displayName="Table15" ref="J1:M5" totalsRowShown="0" headerRowDxfId="10" dataDxfId="9" headerRowCellStyle="Output" dataCellStyle="Output">
  <autoFilter ref="J1:M5" xr:uid="{4F347907-54D2-4658-B046-C3C722760786}"/>
  <tableColumns count="4">
    <tableColumn id="1" xr3:uid="{83609C68-B0CB-44F0-8571-04E59E019A68}" name="Task" dataDxfId="8" dataCellStyle="Output"/>
    <tableColumn id="4" xr3:uid="{C2A80436-F7C7-4619-82AF-094983E577FB}" name="End Date" dataDxfId="7" dataCellStyle="Output"/>
    <tableColumn id="5" xr3:uid="{EEC45E35-153B-4D23-B001-8B34817C9B00}" name="Assigned Member" dataDxfId="6" dataCellStyle="Output"/>
    <tableColumn id="6" xr3:uid="{F28FBCB5-3FCA-43A5-8CDB-440D0B7AE0E1}" name="Progress" dataDxfId="5" dataCellStyle="Outpu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48A76FF-9C2B-4BCD-B024-EF8AEE2A7701}" name="Table5" displayName="Table5" ref="O1:P3" totalsRowShown="0" headerRowDxfId="4" dataDxfId="3" headerRowCellStyle="Output" dataCellStyle="Output">
  <autoFilter ref="O1:P3" xr:uid="{834C3123-6D4D-4E92-ABB6-318A87FC3B02}"/>
  <tableColumns count="2">
    <tableColumn id="1" xr3:uid="{26DE7B61-2729-4235-9AC4-5D44A5C01E6E}" name="Task" dataDxfId="2" dataCellStyle="Output"/>
    <tableColumn id="2" xr3:uid="{26AD082B-5B80-4690-A97A-3D640F547F5D}" name="Completed By" dataDxfId="1" dataCellStyle="Outpu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FA-4DE9-4BC2-8E0F-85694C2A9570}">
  <sheetPr codeName="Sheet1"/>
  <dimension ref="A1:G34"/>
  <sheetViews>
    <sheetView zoomScale="93" zoomScaleNormal="93" workbookViewId="0"/>
  </sheetViews>
  <sheetFormatPr baseColWidth="10" defaultColWidth="8.83203125" defaultRowHeight="15"/>
  <cols>
    <col min="1" max="1" width="16.5" customWidth="1"/>
    <col min="2" max="2" width="25.83203125" customWidth="1"/>
    <col min="3" max="3" width="45.33203125" customWidth="1"/>
    <col min="4" max="4" width="21.5" customWidth="1"/>
    <col min="5" max="5" width="20.83203125" customWidth="1"/>
    <col min="6" max="6" width="19.6640625" customWidth="1"/>
    <col min="7" max="7" width="18.33203125" customWidth="1"/>
    <col min="8" max="8" width="11.5" customWidth="1"/>
  </cols>
  <sheetData>
    <row r="1" spans="1:7" ht="39.75" customHeight="1">
      <c r="A1" s="20" t="s">
        <v>0</v>
      </c>
      <c r="B1" s="20" t="s">
        <v>2</v>
      </c>
      <c r="C1" s="20" t="s">
        <v>1</v>
      </c>
      <c r="D1" s="20" t="s">
        <v>13</v>
      </c>
      <c r="E1" s="20" t="s">
        <v>14</v>
      </c>
      <c r="F1" s="20" t="s">
        <v>15</v>
      </c>
      <c r="G1" s="20" t="s">
        <v>16</v>
      </c>
    </row>
    <row r="2" spans="1:7" ht="29.25" customHeight="1">
      <c r="A2" s="18" t="s">
        <v>17</v>
      </c>
      <c r="B2" s="19" t="s">
        <v>23</v>
      </c>
      <c r="C2" s="18" t="s">
        <v>24</v>
      </c>
      <c r="D2" s="18" t="s">
        <v>21</v>
      </c>
      <c r="E2" s="18" t="s">
        <v>18</v>
      </c>
      <c r="F2" s="18" t="s">
        <v>18</v>
      </c>
      <c r="G2" s="18" t="s">
        <v>20</v>
      </c>
    </row>
    <row r="3" spans="1:7" ht="34.5" customHeight="1">
      <c r="A3" s="18" t="s">
        <v>7</v>
      </c>
      <c r="B3" s="19" t="s">
        <v>25</v>
      </c>
      <c r="C3" s="18" t="s">
        <v>8</v>
      </c>
      <c r="D3" s="18" t="s">
        <v>19</v>
      </c>
      <c r="E3" s="18" t="s">
        <v>21</v>
      </c>
      <c r="F3" s="18" t="s">
        <v>26</v>
      </c>
      <c r="G3" s="18" t="s">
        <v>21</v>
      </c>
    </row>
    <row r="4" spans="1:7" ht="30" customHeight="1">
      <c r="A4" s="18" t="s">
        <v>10</v>
      </c>
      <c r="B4" s="19" t="s">
        <v>27</v>
      </c>
      <c r="C4" s="18" t="s">
        <v>28</v>
      </c>
      <c r="D4" s="18" t="s">
        <v>22</v>
      </c>
      <c r="E4" s="18" t="s">
        <v>21</v>
      </c>
      <c r="F4" s="18" t="s">
        <v>21</v>
      </c>
      <c r="G4" s="18" t="s">
        <v>18</v>
      </c>
    </row>
    <row r="5" spans="1:7" ht="27" customHeight="1">
      <c r="A5" s="18" t="s">
        <v>9</v>
      </c>
      <c r="B5" s="19" t="s">
        <v>29</v>
      </c>
      <c r="C5" s="18" t="s">
        <v>30</v>
      </c>
      <c r="D5" s="18" t="s">
        <v>20</v>
      </c>
      <c r="E5" s="18" t="s">
        <v>18</v>
      </c>
      <c r="F5" s="18" t="s">
        <v>22</v>
      </c>
      <c r="G5" s="18" t="s">
        <v>20</v>
      </c>
    </row>
    <row r="6" spans="1:7" ht="30.75" customHeight="1">
      <c r="A6" s="18" t="s">
        <v>32</v>
      </c>
      <c r="B6" s="19" t="s">
        <v>58</v>
      </c>
      <c r="C6" s="18" t="s">
        <v>31</v>
      </c>
      <c r="D6" s="18" t="s">
        <v>18</v>
      </c>
      <c r="E6" s="18" t="s">
        <v>21</v>
      </c>
      <c r="F6" s="18" t="s">
        <v>21</v>
      </c>
      <c r="G6" s="18" t="s">
        <v>18</v>
      </c>
    </row>
    <row r="7" spans="1:7">
      <c r="B7" s="1"/>
    </row>
    <row r="8" spans="1:7">
      <c r="B8" s="1"/>
    </row>
    <row r="9" spans="1:7">
      <c r="B9" s="1"/>
    </row>
    <row r="10" spans="1:7">
      <c r="B10" s="1"/>
    </row>
    <row r="11" spans="1:7">
      <c r="B11" s="1"/>
    </row>
    <row r="12" spans="1:7">
      <c r="B12" s="1"/>
    </row>
    <row r="13" spans="1:7">
      <c r="B13" s="1"/>
    </row>
    <row r="14" spans="1:7">
      <c r="B14" s="1"/>
    </row>
    <row r="15" spans="1:7">
      <c r="B15" s="1"/>
    </row>
    <row r="16" spans="1:7">
      <c r="B16" s="1"/>
    </row>
    <row r="17" spans="2:2">
      <c r="B17" s="1"/>
    </row>
    <row r="18" spans="2:2">
      <c r="B18" s="1"/>
    </row>
    <row r="19" spans="2:2">
      <c r="B19" s="1"/>
    </row>
    <row r="20" spans="2:2">
      <c r="B20" s="1"/>
    </row>
    <row r="21" spans="2:2">
      <c r="B21" s="1"/>
    </row>
    <row r="22" spans="2:2">
      <c r="B22" s="1"/>
    </row>
    <row r="23" spans="2:2">
      <c r="B23" s="1"/>
    </row>
    <row r="24" spans="2:2">
      <c r="B24" s="1"/>
    </row>
    <row r="25" spans="2:2">
      <c r="B25" s="1"/>
    </row>
    <row r="26" spans="2:2">
      <c r="B26" s="1"/>
    </row>
    <row r="27" spans="2:2">
      <c r="B27" s="1"/>
    </row>
    <row r="28" spans="2:2">
      <c r="B28" s="1"/>
    </row>
    <row r="29" spans="2:2">
      <c r="B29" s="1"/>
    </row>
    <row r="30" spans="2:2">
      <c r="B30" s="1"/>
    </row>
    <row r="31" spans="2:2">
      <c r="B31" s="1"/>
    </row>
    <row r="32" spans="2:2">
      <c r="B32" s="1"/>
    </row>
    <row r="33" spans="2:2">
      <c r="B33" s="1"/>
    </row>
    <row r="34" spans="2:2">
      <c r="B34" s="1"/>
    </row>
  </sheetData>
  <pageMargins left="0.7" right="0.7" top="0.75" bottom="0.75" header="0.3" footer="0.3"/>
  <pageSetup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F7E0E-4451-4722-8DEB-B405EB2CD4B5}">
  <sheetPr codeName="Sheet4"/>
  <dimension ref="B1:P20"/>
  <sheetViews>
    <sheetView tabSelected="1" zoomScale="68" zoomScaleNormal="60" workbookViewId="0">
      <selection activeCell="E9" sqref="E9"/>
    </sheetView>
  </sheetViews>
  <sheetFormatPr baseColWidth="10" defaultColWidth="8.83203125" defaultRowHeight="15"/>
  <cols>
    <col min="1" max="1" width="39" customWidth="1"/>
    <col min="2" max="2" width="34.1640625" customWidth="1"/>
    <col min="3" max="3" width="36" customWidth="1"/>
    <col min="4" max="4" width="34.1640625" customWidth="1"/>
    <col min="5" max="5" width="28.6640625" customWidth="1"/>
    <col min="6" max="6" width="33.33203125" customWidth="1"/>
    <col min="7" max="7" width="20.33203125" customWidth="1"/>
    <col min="8" max="8" width="11.5" customWidth="1"/>
    <col min="9" max="9" width="32.5" customWidth="1"/>
    <col min="10" max="10" width="21.83203125" customWidth="1"/>
    <col min="11" max="11" width="25.83203125" customWidth="1"/>
    <col min="12" max="12" width="20.5" customWidth="1"/>
    <col min="13" max="13" width="25.6640625" customWidth="1"/>
    <col min="14" max="14" width="47.1640625" customWidth="1"/>
    <col min="15" max="15" width="20.33203125" customWidth="1"/>
    <col min="16" max="16" width="27" customWidth="1"/>
  </cols>
  <sheetData>
    <row r="1" spans="2:16" ht="42.75" customHeight="1">
      <c r="B1" s="11" t="s">
        <v>3</v>
      </c>
      <c r="C1" s="11" t="s">
        <v>33</v>
      </c>
      <c r="D1" s="11" t="s">
        <v>4</v>
      </c>
      <c r="E1" s="11" t="s">
        <v>34</v>
      </c>
      <c r="F1" s="11" t="s">
        <v>6</v>
      </c>
      <c r="G1" s="11" t="s">
        <v>5</v>
      </c>
      <c r="J1" s="12" t="s">
        <v>3</v>
      </c>
      <c r="K1" s="12" t="s">
        <v>34</v>
      </c>
      <c r="L1" s="12" t="s">
        <v>6</v>
      </c>
      <c r="M1" s="12" t="s">
        <v>5</v>
      </c>
      <c r="O1" s="13" t="s">
        <v>3</v>
      </c>
      <c r="P1" s="13" t="s">
        <v>38</v>
      </c>
    </row>
    <row r="2" spans="2:16" ht="93.75" customHeight="1">
      <c r="B2" s="10" t="s">
        <v>57</v>
      </c>
      <c r="C2" s="16" t="s">
        <v>52</v>
      </c>
      <c r="D2" s="17">
        <v>43040</v>
      </c>
      <c r="E2" s="17">
        <v>43042</v>
      </c>
      <c r="F2" s="10" t="s">
        <v>17</v>
      </c>
      <c r="G2" s="10" t="s">
        <v>35</v>
      </c>
      <c r="J2" s="8" t="s">
        <v>48</v>
      </c>
      <c r="K2" s="9">
        <v>43049</v>
      </c>
      <c r="L2" s="8" t="s">
        <v>7</v>
      </c>
      <c r="M2" s="8" t="s">
        <v>37</v>
      </c>
      <c r="O2" s="10" t="s">
        <v>41</v>
      </c>
      <c r="P2" s="10" t="s">
        <v>32</v>
      </c>
    </row>
    <row r="3" spans="2:16" ht="54" customHeight="1">
      <c r="B3" s="10" t="s">
        <v>40</v>
      </c>
      <c r="C3" s="16" t="s">
        <v>53</v>
      </c>
      <c r="D3" s="17">
        <v>43042</v>
      </c>
      <c r="E3" s="17">
        <v>43043</v>
      </c>
      <c r="F3" s="10" t="s">
        <v>10</v>
      </c>
      <c r="G3" s="10" t="s">
        <v>35</v>
      </c>
      <c r="J3" s="8" t="s">
        <v>49</v>
      </c>
      <c r="K3" s="9">
        <v>43051</v>
      </c>
      <c r="L3" s="8" t="s">
        <v>10</v>
      </c>
      <c r="M3" s="8" t="s">
        <v>37</v>
      </c>
      <c r="O3" s="10" t="s">
        <v>43</v>
      </c>
      <c r="P3" s="10" t="s">
        <v>9</v>
      </c>
    </row>
    <row r="4" spans="2:16" ht="102.75" customHeight="1">
      <c r="B4" s="10" t="s">
        <v>42</v>
      </c>
      <c r="C4" s="16" t="s">
        <v>54</v>
      </c>
      <c r="D4" s="17">
        <v>43043</v>
      </c>
      <c r="E4" s="17">
        <v>43045</v>
      </c>
      <c r="F4" s="10" t="s">
        <v>7</v>
      </c>
      <c r="G4" s="10" t="s">
        <v>35</v>
      </c>
      <c r="J4" s="14" t="s">
        <v>55</v>
      </c>
      <c r="K4" s="15">
        <v>43053</v>
      </c>
      <c r="L4" s="14" t="s">
        <v>9</v>
      </c>
      <c r="M4" s="14" t="s">
        <v>37</v>
      </c>
    </row>
    <row r="5" spans="2:16" ht="72" customHeight="1">
      <c r="B5" s="10" t="s">
        <v>44</v>
      </c>
      <c r="C5" s="16" t="s">
        <v>45</v>
      </c>
      <c r="D5" s="17">
        <v>43045</v>
      </c>
      <c r="E5" s="17">
        <v>43047</v>
      </c>
      <c r="F5" s="10" t="s">
        <v>17</v>
      </c>
      <c r="G5" s="10" t="s">
        <v>35</v>
      </c>
      <c r="J5" s="14" t="s">
        <v>56</v>
      </c>
      <c r="K5" s="15">
        <v>43055</v>
      </c>
      <c r="L5" s="14" t="s">
        <v>7</v>
      </c>
      <c r="M5" s="14" t="s">
        <v>37</v>
      </c>
    </row>
    <row r="6" spans="2:16" ht="54" customHeight="1">
      <c r="B6" s="10" t="s">
        <v>46</v>
      </c>
      <c r="C6" s="16" t="s">
        <v>47</v>
      </c>
      <c r="D6" s="17">
        <v>43047</v>
      </c>
      <c r="E6" s="17">
        <v>43049</v>
      </c>
      <c r="F6" s="10" t="s">
        <v>32</v>
      </c>
      <c r="G6" s="10" t="s">
        <v>35</v>
      </c>
      <c r="K6" s="2"/>
    </row>
    <row r="7" spans="2:16" ht="83.25" customHeight="1">
      <c r="B7" s="10" t="s">
        <v>50</v>
      </c>
      <c r="C7" s="16" t="s">
        <v>51</v>
      </c>
      <c r="D7" s="17">
        <v>43051</v>
      </c>
      <c r="E7" s="17">
        <v>43053</v>
      </c>
      <c r="F7" s="10" t="s">
        <v>9</v>
      </c>
      <c r="G7" s="10" t="s">
        <v>35</v>
      </c>
      <c r="K7" s="2"/>
    </row>
    <row r="8" spans="2:16" ht="49.5" customHeight="1">
      <c r="D8" s="2"/>
      <c r="E8" s="2"/>
      <c r="K8" s="2"/>
    </row>
    <row r="9" spans="2:16" ht="85.5" customHeight="1">
      <c r="D9" s="2"/>
      <c r="E9" s="2"/>
      <c r="K9" s="2"/>
    </row>
    <row r="10" spans="2:16">
      <c r="D10" s="2"/>
      <c r="E10" s="2"/>
      <c r="K10" s="2"/>
    </row>
    <row r="11" spans="2:16">
      <c r="D11" s="2"/>
      <c r="E11" s="2"/>
      <c r="K11" s="2"/>
    </row>
    <row r="12" spans="2:16">
      <c r="D12" s="2"/>
      <c r="E12" s="2"/>
      <c r="K12" s="2"/>
    </row>
    <row r="13" spans="2:16">
      <c r="D13" s="2"/>
      <c r="E13" s="2"/>
      <c r="K13" s="2"/>
    </row>
    <row r="14" spans="2:16">
      <c r="D14" s="2"/>
      <c r="E14" s="2"/>
      <c r="K14" s="2"/>
    </row>
    <row r="15" spans="2:16">
      <c r="D15" s="2"/>
      <c r="E15" s="2"/>
      <c r="K15" s="2"/>
    </row>
    <row r="16" spans="2:16">
      <c r="D16" s="2"/>
      <c r="E16" s="2"/>
      <c r="K16" s="2"/>
    </row>
    <row r="17" spans="4:11">
      <c r="D17" s="2"/>
      <c r="E17" s="2"/>
      <c r="K17" s="2"/>
    </row>
    <row r="18" spans="4:11">
      <c r="D18" s="2"/>
      <c r="E18" s="2"/>
      <c r="K18" s="2"/>
    </row>
    <row r="19" spans="4:11">
      <c r="D19" s="2"/>
      <c r="E19" s="2"/>
      <c r="K19" s="2"/>
    </row>
    <row r="20" spans="4:11">
      <c r="K20" s="2"/>
    </row>
  </sheetData>
  <dataValidations count="2">
    <dataValidation type="list" allowBlank="1" showInputMessage="1" showErrorMessage="1" sqref="F3:F7" xr:uid="{02105EDF-3092-453E-9BA0-F8AFFBB3C1E2}">
      <formula1>Indu</formula1>
    </dataValidation>
    <dataValidation type="list" allowBlank="1" showInputMessage="1" showErrorMessage="1" sqref="F2" xr:uid="{7E059364-2971-44F5-94E3-757301086D08}">
      <formula1>Bhoo</formula1>
    </dataValidation>
  </dataValidations>
  <pageMargins left="0.7" right="0.7" top="0.75" bottom="0.75" header="0.3" footer="0.3"/>
  <pageSetup orientation="portrait" r:id="rId1"/>
  <drawing r:id="rId2"/>
  <legacyDrawing r:id="rId3"/>
  <tableParts count="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D4CC1B8B-2759-4150-A34F-F2AB6E8D86BD}">
          <x14:formula1>
            <xm:f>Sheet3!$A$5:$A$6</xm:f>
          </x14:formula1>
          <xm:sqref>M2:M5</xm:sqref>
        </x14:dataValidation>
        <x14:dataValidation type="list" allowBlank="1" showInputMessage="1" showErrorMessage="1" xr:uid="{7193F158-0E59-43F2-92E6-3149E51DE362}">
          <x14:formula1>
            <xm:f>Communications!$A$2:$A$6</xm:f>
          </x14:formula1>
          <xm:sqref>L2:L5</xm:sqref>
        </x14:dataValidation>
        <x14:dataValidation type="list" allowBlank="1" showInputMessage="1" showErrorMessage="1" xr:uid="{A456BAD9-6D0B-4914-957E-035A501F7735}">
          <x14:formula1>
            <xm:f>Sheet3!$A$2:$A$3</xm:f>
          </x14:formula1>
          <xm:sqref>G2:G7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0503C-9170-4DEF-8292-1B7E70128998}">
  <sheetPr codeName="Sheet2"/>
  <dimension ref="A1:Z26"/>
  <sheetViews>
    <sheetView zoomScale="75" zoomScaleNormal="75" workbookViewId="0">
      <selection activeCell="R31" sqref="R31"/>
    </sheetView>
  </sheetViews>
  <sheetFormatPr baseColWidth="10" defaultColWidth="8.83203125" defaultRowHeight="15"/>
  <cols>
    <col min="1" max="1" width="20.5" customWidth="1"/>
    <col min="2" max="2" width="17.1640625" customWidth="1"/>
    <col min="3" max="3" width="11.33203125" customWidth="1"/>
    <col min="4" max="4" width="17.6640625" customWidth="1"/>
    <col min="5" max="5" width="7.6640625" customWidth="1"/>
    <col min="6" max="6" width="7.1640625" customWidth="1"/>
    <col min="7" max="7" width="7.6640625" customWidth="1"/>
    <col min="8" max="8" width="7.5" customWidth="1"/>
    <col min="9" max="9" width="7" customWidth="1"/>
    <col min="10" max="10" width="7.33203125" customWidth="1"/>
    <col min="11" max="11" width="7" customWidth="1"/>
    <col min="12" max="12" width="6.33203125" customWidth="1"/>
    <col min="13" max="13" width="6.5" customWidth="1"/>
    <col min="14" max="14" width="8" customWidth="1"/>
    <col min="15" max="15" width="7.5" customWidth="1"/>
    <col min="16" max="17" width="7.1640625" customWidth="1"/>
    <col min="18" max="19" width="7.5" customWidth="1"/>
    <col min="20" max="20" width="7.33203125" customWidth="1"/>
    <col min="21" max="21" width="6.83203125" customWidth="1"/>
    <col min="22" max="22" width="6.5" customWidth="1"/>
    <col min="23" max="23" width="7.5" customWidth="1"/>
    <col min="24" max="24" width="7" customWidth="1"/>
    <col min="25" max="25" width="8.6640625" customWidth="1"/>
    <col min="26" max="26" width="7.6640625" customWidth="1"/>
  </cols>
  <sheetData>
    <row r="1" spans="1:26">
      <c r="E1">
        <v>1</v>
      </c>
      <c r="F1">
        <f>E1+1</f>
        <v>2</v>
      </c>
      <c r="G1">
        <f t="shared" ref="G1:Y1" si="0">F1+1</f>
        <v>3</v>
      </c>
      <c r="H1">
        <f t="shared" si="0"/>
        <v>4</v>
      </c>
      <c r="I1">
        <f t="shared" si="0"/>
        <v>5</v>
      </c>
      <c r="J1">
        <f t="shared" si="0"/>
        <v>6</v>
      </c>
      <c r="K1">
        <f t="shared" si="0"/>
        <v>7</v>
      </c>
      <c r="L1">
        <f t="shared" si="0"/>
        <v>8</v>
      </c>
      <c r="M1">
        <f t="shared" si="0"/>
        <v>9</v>
      </c>
      <c r="N1">
        <f t="shared" si="0"/>
        <v>10</v>
      </c>
      <c r="O1">
        <f t="shared" si="0"/>
        <v>11</v>
      </c>
      <c r="P1">
        <f t="shared" si="0"/>
        <v>12</v>
      </c>
      <c r="Q1">
        <f t="shared" si="0"/>
        <v>13</v>
      </c>
      <c r="R1">
        <f t="shared" si="0"/>
        <v>14</v>
      </c>
      <c r="S1">
        <f t="shared" si="0"/>
        <v>15</v>
      </c>
      <c r="T1">
        <f t="shared" si="0"/>
        <v>16</v>
      </c>
      <c r="U1">
        <f t="shared" si="0"/>
        <v>17</v>
      </c>
      <c r="V1">
        <f t="shared" si="0"/>
        <v>18</v>
      </c>
      <c r="W1">
        <f t="shared" si="0"/>
        <v>19</v>
      </c>
      <c r="X1">
        <f t="shared" si="0"/>
        <v>20</v>
      </c>
      <c r="Y1">
        <f t="shared" si="0"/>
        <v>21</v>
      </c>
      <c r="Z1">
        <f>Y1+1</f>
        <v>22</v>
      </c>
    </row>
    <row r="2" spans="1:26" ht="103.5" customHeight="1">
      <c r="A2" s="4" t="s">
        <v>3</v>
      </c>
      <c r="B2" s="4" t="s">
        <v>4</v>
      </c>
      <c r="C2" s="4" t="s">
        <v>11</v>
      </c>
      <c r="D2" s="4" t="s">
        <v>12</v>
      </c>
      <c r="E2" s="5">
        <f>B3</f>
        <v>43040</v>
      </c>
      <c r="F2" s="5">
        <f>E2+1</f>
        <v>43041</v>
      </c>
      <c r="G2" s="5">
        <f t="shared" ref="G2:Y2" si="1">F2+1</f>
        <v>43042</v>
      </c>
      <c r="H2" s="5">
        <f t="shared" si="1"/>
        <v>43043</v>
      </c>
      <c r="I2" s="5">
        <f t="shared" si="1"/>
        <v>43044</v>
      </c>
      <c r="J2" s="5">
        <f t="shared" si="1"/>
        <v>43045</v>
      </c>
      <c r="K2" s="5">
        <f t="shared" si="1"/>
        <v>43046</v>
      </c>
      <c r="L2" s="5">
        <f t="shared" si="1"/>
        <v>43047</v>
      </c>
      <c r="M2" s="5">
        <f t="shared" si="1"/>
        <v>43048</v>
      </c>
      <c r="N2" s="5">
        <f t="shared" si="1"/>
        <v>43049</v>
      </c>
      <c r="O2" s="5">
        <f t="shared" si="1"/>
        <v>43050</v>
      </c>
      <c r="P2" s="5">
        <f t="shared" si="1"/>
        <v>43051</v>
      </c>
      <c r="Q2" s="5">
        <f t="shared" si="1"/>
        <v>43052</v>
      </c>
      <c r="R2" s="5">
        <f t="shared" si="1"/>
        <v>43053</v>
      </c>
      <c r="S2" s="5">
        <f t="shared" si="1"/>
        <v>43054</v>
      </c>
      <c r="T2" s="5">
        <f t="shared" si="1"/>
        <v>43055</v>
      </c>
      <c r="U2" s="5">
        <f t="shared" si="1"/>
        <v>43056</v>
      </c>
      <c r="V2" s="5">
        <f t="shared" si="1"/>
        <v>43057</v>
      </c>
      <c r="W2" s="5">
        <f t="shared" si="1"/>
        <v>43058</v>
      </c>
      <c r="X2" s="5">
        <f t="shared" si="1"/>
        <v>43059</v>
      </c>
      <c r="Y2" s="5">
        <f t="shared" si="1"/>
        <v>43060</v>
      </c>
      <c r="Z2" s="5">
        <f>Y2+1</f>
        <v>43061</v>
      </c>
    </row>
    <row r="3" spans="1:26" ht="16">
      <c r="A3" s="6" t="str">
        <f>'Task Manager'!B2</f>
        <v>Organizing</v>
      </c>
      <c r="B3" s="7">
        <f>'Task Manager'!D2</f>
        <v>43040</v>
      </c>
      <c r="C3" s="7">
        <f>'Task Manager'!E2</f>
        <v>43042</v>
      </c>
      <c r="D3" s="6">
        <f t="shared" ref="D3:D8" si="2">C3-B3</f>
        <v>2</v>
      </c>
      <c r="E3" s="3"/>
      <c r="F3" s="3"/>
      <c r="G3" s="3"/>
      <c r="H3" s="3"/>
      <c r="I3" s="3"/>
      <c r="J3" s="3"/>
      <c r="K3" s="3"/>
      <c r="L3" s="3"/>
      <c r="M3" s="3"/>
      <c r="N3" s="3"/>
      <c r="O3" s="3"/>
      <c r="P3" s="3"/>
      <c r="Q3" s="3"/>
      <c r="R3" s="3"/>
      <c r="S3" s="3"/>
      <c r="T3" s="3"/>
      <c r="U3" s="3"/>
      <c r="V3" s="3"/>
      <c r="W3" s="3"/>
      <c r="X3" s="3"/>
      <c r="Y3" s="3"/>
      <c r="Z3" s="3"/>
    </row>
    <row r="4" spans="1:26" ht="16">
      <c r="A4" s="6" t="str">
        <f>'Task Manager'!B3</f>
        <v>ANALYZING</v>
      </c>
      <c r="B4" s="7">
        <f>'Task Manager'!D3</f>
        <v>43042</v>
      </c>
      <c r="C4" s="7">
        <f>'Task Manager'!E3</f>
        <v>43043</v>
      </c>
      <c r="D4" s="6">
        <f t="shared" si="2"/>
        <v>1</v>
      </c>
      <c r="E4" s="3"/>
      <c r="F4" s="3"/>
      <c r="G4" s="3"/>
      <c r="H4" s="3"/>
      <c r="I4" s="3"/>
      <c r="J4" s="3"/>
      <c r="K4" s="3"/>
      <c r="L4" s="3"/>
      <c r="M4" s="3"/>
      <c r="N4" s="3"/>
      <c r="O4" s="3"/>
      <c r="P4" s="3"/>
      <c r="Q4" s="3"/>
      <c r="R4" s="3"/>
      <c r="S4" s="3"/>
      <c r="T4" s="3"/>
      <c r="U4" s="3"/>
      <c r="V4" s="3"/>
      <c r="W4" s="3"/>
      <c r="X4" s="3"/>
      <c r="Y4" s="3"/>
      <c r="Z4" s="3"/>
    </row>
    <row r="5" spans="1:26" ht="16">
      <c r="A5" s="6" t="str">
        <f>'Task Manager'!B4</f>
        <v>rubric</v>
      </c>
      <c r="B5" s="7">
        <f>'Task Manager'!D4</f>
        <v>43043</v>
      </c>
      <c r="C5" s="7">
        <f>'Task Manager'!E4</f>
        <v>43045</v>
      </c>
      <c r="D5" s="6">
        <f t="shared" si="2"/>
        <v>2</v>
      </c>
      <c r="E5" s="3"/>
      <c r="F5" s="3"/>
      <c r="G5" s="3"/>
      <c r="H5" s="3"/>
      <c r="I5" s="3"/>
      <c r="J5" s="3"/>
      <c r="K5" s="3"/>
      <c r="L5" s="3"/>
      <c r="M5" s="3"/>
      <c r="N5" s="3"/>
      <c r="O5" s="3"/>
      <c r="P5" s="3"/>
      <c r="Q5" s="3"/>
      <c r="R5" s="3"/>
      <c r="S5" s="3"/>
      <c r="T5" s="3"/>
      <c r="U5" s="3"/>
      <c r="V5" s="3"/>
      <c r="W5" s="3"/>
      <c r="X5" s="3"/>
      <c r="Y5" s="3"/>
      <c r="Z5" s="3"/>
    </row>
    <row r="6" spans="1:26" ht="16">
      <c r="A6" s="6" t="str">
        <f>'Task Manager'!B5</f>
        <v>Presenation</v>
      </c>
      <c r="B6" s="7">
        <f>'Task Manager'!D5</f>
        <v>43045</v>
      </c>
      <c r="C6" s="7">
        <f>'Task Manager'!E5</f>
        <v>43047</v>
      </c>
      <c r="D6" s="6">
        <f t="shared" si="2"/>
        <v>2</v>
      </c>
      <c r="E6" s="3"/>
      <c r="F6" s="3"/>
      <c r="G6" s="3"/>
      <c r="H6" s="3"/>
      <c r="I6" s="3"/>
      <c r="J6" s="3"/>
      <c r="K6" s="3"/>
      <c r="L6" s="3"/>
      <c r="M6" s="3"/>
      <c r="N6" s="3"/>
      <c r="O6" s="3"/>
      <c r="P6" s="3"/>
      <c r="Q6" s="3"/>
      <c r="R6" s="3"/>
      <c r="S6" s="3"/>
      <c r="T6" s="3"/>
      <c r="U6" s="3"/>
      <c r="V6" s="3"/>
      <c r="W6" s="3"/>
      <c r="X6" s="3"/>
      <c r="Y6" s="3"/>
      <c r="Z6" s="3"/>
    </row>
    <row r="7" spans="1:26" ht="16">
      <c r="A7" s="6" t="str">
        <f>'Task Manager'!B6</f>
        <v>Project report</v>
      </c>
      <c r="B7" s="7">
        <f>'Task Manager'!D6</f>
        <v>43047</v>
      </c>
      <c r="C7" s="7">
        <f>'Task Manager'!E6</f>
        <v>43049</v>
      </c>
      <c r="D7" s="6">
        <f t="shared" si="2"/>
        <v>2</v>
      </c>
      <c r="E7" s="3"/>
      <c r="F7" s="3"/>
      <c r="G7" s="3"/>
      <c r="H7" s="3"/>
      <c r="I7" s="3"/>
      <c r="J7" s="3"/>
      <c r="K7" s="3"/>
      <c r="L7" s="3"/>
      <c r="M7" s="3"/>
      <c r="N7" s="3"/>
      <c r="O7" s="3"/>
      <c r="P7" s="3"/>
      <c r="Q7" s="3"/>
      <c r="R7" s="3"/>
      <c r="S7" s="3"/>
      <c r="T7" s="3"/>
      <c r="U7" s="3"/>
      <c r="V7" s="3"/>
      <c r="W7" s="3"/>
      <c r="X7" s="3"/>
      <c r="Y7" s="3"/>
      <c r="Z7" s="3"/>
    </row>
    <row r="8" spans="1:26" ht="16">
      <c r="A8" s="6" t="str">
        <f>'Task Manager'!B7</f>
        <v>resource management</v>
      </c>
      <c r="B8" s="7">
        <f>'Task Manager'!D7</f>
        <v>43051</v>
      </c>
      <c r="C8" s="7">
        <f>'Task Manager'!E7</f>
        <v>43053</v>
      </c>
      <c r="D8" s="6">
        <f t="shared" si="2"/>
        <v>2</v>
      </c>
      <c r="E8" s="3"/>
      <c r="F8" s="3"/>
      <c r="G8" s="3"/>
      <c r="H8" s="3"/>
      <c r="I8" s="3"/>
      <c r="J8" s="3"/>
      <c r="K8" s="3"/>
      <c r="L8" s="3"/>
      <c r="M8" s="3"/>
      <c r="N8" s="3"/>
      <c r="O8" s="3"/>
      <c r="P8" s="3"/>
      <c r="Q8" s="3"/>
      <c r="R8" s="3"/>
      <c r="S8" s="3"/>
      <c r="T8" s="3"/>
      <c r="U8" s="3"/>
      <c r="V8" s="3"/>
      <c r="W8" s="3"/>
      <c r="X8" s="3"/>
      <c r="Y8" s="3"/>
      <c r="Z8" s="3"/>
    </row>
    <row r="9" spans="1:26" ht="16">
      <c r="A9" s="6" t="e">
        <f>'Task Manager'!#REF!</f>
        <v>#REF!</v>
      </c>
      <c r="B9" s="7" t="e">
        <f>'Task Manager'!#REF!</f>
        <v>#REF!</v>
      </c>
      <c r="C9" s="7" t="e">
        <f>'Task Manager'!#REF!</f>
        <v>#REF!</v>
      </c>
      <c r="D9" s="6" t="e">
        <f t="shared" ref="D9:D23" si="3">C9-B9</f>
        <v>#REF!</v>
      </c>
      <c r="E9" s="3"/>
      <c r="F9" s="3"/>
      <c r="G9" s="3"/>
      <c r="H9" s="3"/>
      <c r="I9" s="3"/>
      <c r="J9" s="3"/>
      <c r="K9" s="3"/>
      <c r="L9" s="3"/>
      <c r="M9" s="3"/>
      <c r="N9" s="3"/>
      <c r="O9" s="3"/>
      <c r="P9" s="3"/>
      <c r="Q9" s="3"/>
      <c r="R9" s="3"/>
      <c r="S9" s="3"/>
      <c r="T9" s="3"/>
      <c r="U9" s="3"/>
      <c r="V9" s="3"/>
      <c r="W9" s="3"/>
      <c r="X9" s="3"/>
      <c r="Y9" s="3"/>
      <c r="Z9" s="3"/>
    </row>
    <row r="10" spans="1:26" ht="16">
      <c r="A10" s="6" t="e">
        <f>'Task Manager'!#REF!</f>
        <v>#REF!</v>
      </c>
      <c r="B10" s="7" t="e">
        <f>'Task Manager'!#REF!</f>
        <v>#REF!</v>
      </c>
      <c r="C10" s="7" t="e">
        <f>'Task Manager'!#REF!</f>
        <v>#REF!</v>
      </c>
      <c r="D10" s="6" t="e">
        <f t="shared" si="3"/>
        <v>#REF!</v>
      </c>
      <c r="E10" s="3"/>
      <c r="F10" s="3"/>
      <c r="G10" s="3"/>
      <c r="H10" s="3"/>
      <c r="I10" s="3"/>
      <c r="J10" s="3"/>
      <c r="K10" s="3"/>
      <c r="L10" s="3"/>
      <c r="M10" s="3"/>
      <c r="N10" s="3"/>
      <c r="O10" s="3"/>
      <c r="P10" s="3"/>
      <c r="Q10" s="3"/>
      <c r="R10" s="3"/>
      <c r="S10" s="3"/>
      <c r="T10" s="3"/>
      <c r="U10" s="3"/>
      <c r="V10" s="3"/>
      <c r="W10" s="3"/>
      <c r="X10" s="3"/>
      <c r="Y10" s="3"/>
      <c r="Z10" s="3"/>
    </row>
    <row r="11" spans="1:26" ht="16">
      <c r="A11" s="6">
        <f>'Task Manager'!B8</f>
        <v>0</v>
      </c>
      <c r="B11" s="7">
        <f>'Task Manager'!D8</f>
        <v>0</v>
      </c>
      <c r="C11" s="7">
        <f>'Task Manager'!E8</f>
        <v>0</v>
      </c>
      <c r="D11" s="6">
        <f t="shared" si="3"/>
        <v>0</v>
      </c>
      <c r="E11" s="3"/>
      <c r="F11" s="3"/>
      <c r="G11" s="3"/>
      <c r="H11" s="3"/>
      <c r="I11" s="3"/>
      <c r="J11" s="3"/>
      <c r="K11" s="3"/>
      <c r="L11" s="3"/>
      <c r="M11" s="3"/>
      <c r="N11" s="3"/>
      <c r="O11" s="3"/>
      <c r="P11" s="3"/>
      <c r="Q11" s="3"/>
      <c r="R11" s="3"/>
      <c r="S11" s="3"/>
      <c r="T11" s="3"/>
      <c r="U11" s="3"/>
      <c r="V11" s="3"/>
      <c r="W11" s="3"/>
      <c r="X11" s="3"/>
      <c r="Y11" s="3"/>
      <c r="Z11" s="3"/>
    </row>
    <row r="12" spans="1:26" ht="16">
      <c r="A12" s="6">
        <f>'Task Manager'!B9</f>
        <v>0</v>
      </c>
      <c r="B12" s="7">
        <f>'Task Manager'!D9</f>
        <v>0</v>
      </c>
      <c r="C12" s="7">
        <f>'Task Manager'!E9</f>
        <v>0</v>
      </c>
      <c r="D12" s="6">
        <f t="shared" si="3"/>
        <v>0</v>
      </c>
      <c r="E12" s="3"/>
      <c r="F12" s="3"/>
      <c r="G12" s="3"/>
      <c r="H12" s="3"/>
      <c r="I12" s="3"/>
      <c r="J12" s="3"/>
      <c r="K12" s="3"/>
      <c r="L12" s="3"/>
      <c r="M12" s="3"/>
      <c r="N12" s="3"/>
      <c r="O12" s="3"/>
      <c r="P12" s="3"/>
      <c r="Q12" s="3"/>
      <c r="R12" s="3"/>
      <c r="S12" s="3"/>
      <c r="T12" s="3"/>
      <c r="U12" s="3"/>
      <c r="V12" s="3"/>
      <c r="W12" s="3"/>
      <c r="X12" s="3"/>
      <c r="Y12" s="3"/>
      <c r="Z12" s="3"/>
    </row>
    <row r="13" spans="1:26" ht="16">
      <c r="A13" s="6">
        <f>'Task Manager'!B10</f>
        <v>0</v>
      </c>
      <c r="B13" s="7">
        <f>'Task Manager'!D10</f>
        <v>0</v>
      </c>
      <c r="C13" s="7">
        <f>'Task Manager'!E10</f>
        <v>0</v>
      </c>
      <c r="D13" s="6">
        <f t="shared" si="3"/>
        <v>0</v>
      </c>
      <c r="E13" s="3"/>
      <c r="F13" s="3"/>
      <c r="G13" s="3"/>
      <c r="H13" s="3"/>
      <c r="I13" s="3"/>
      <c r="J13" s="3"/>
      <c r="K13" s="3"/>
      <c r="L13" s="3"/>
      <c r="M13" s="3"/>
      <c r="N13" s="3"/>
      <c r="O13" s="3"/>
      <c r="P13" s="3"/>
      <c r="Q13" s="3"/>
      <c r="R13" s="3"/>
      <c r="S13" s="3"/>
      <c r="T13" s="3"/>
      <c r="U13" s="3"/>
      <c r="V13" s="3"/>
      <c r="W13" s="3"/>
      <c r="X13" s="3"/>
      <c r="Y13" s="3"/>
      <c r="Z13" s="3"/>
    </row>
    <row r="14" spans="1:26" ht="16">
      <c r="A14" s="6">
        <f>'Task Manager'!B11</f>
        <v>0</v>
      </c>
      <c r="B14" s="7">
        <f>'Task Manager'!D11</f>
        <v>0</v>
      </c>
      <c r="C14" s="7">
        <f>'Task Manager'!E11</f>
        <v>0</v>
      </c>
      <c r="D14" s="6">
        <f t="shared" si="3"/>
        <v>0</v>
      </c>
      <c r="E14" s="3"/>
      <c r="F14" s="3"/>
      <c r="G14" s="3"/>
      <c r="H14" s="3"/>
      <c r="I14" s="3"/>
      <c r="J14" s="3"/>
      <c r="K14" s="3"/>
      <c r="L14" s="3"/>
      <c r="M14" s="3"/>
      <c r="N14" s="3"/>
      <c r="O14" s="3"/>
      <c r="P14" s="3"/>
      <c r="Q14" s="3"/>
      <c r="R14" s="3"/>
      <c r="S14" s="3"/>
      <c r="T14" s="3"/>
      <c r="U14" s="3"/>
      <c r="V14" s="3"/>
      <c r="W14" s="3"/>
      <c r="X14" s="3"/>
      <c r="Y14" s="3"/>
      <c r="Z14" s="3"/>
    </row>
    <row r="15" spans="1:26" ht="16">
      <c r="A15" s="6">
        <f>'Task Manager'!B12</f>
        <v>0</v>
      </c>
      <c r="B15" s="7">
        <f>'Task Manager'!D12</f>
        <v>0</v>
      </c>
      <c r="C15" s="7">
        <f>'Task Manager'!E12</f>
        <v>0</v>
      </c>
      <c r="D15" s="6">
        <f t="shared" si="3"/>
        <v>0</v>
      </c>
      <c r="E15" s="3"/>
      <c r="F15" s="3"/>
      <c r="G15" s="3"/>
      <c r="H15" s="3"/>
      <c r="I15" s="3"/>
      <c r="J15" s="3"/>
      <c r="K15" s="3"/>
      <c r="L15" s="3"/>
      <c r="M15" s="3"/>
      <c r="N15" s="3"/>
      <c r="O15" s="3"/>
      <c r="P15" s="3"/>
      <c r="Q15" s="3"/>
      <c r="R15" s="3"/>
      <c r="S15" s="3"/>
      <c r="T15" s="3"/>
      <c r="U15" s="3"/>
      <c r="V15" s="3"/>
      <c r="W15" s="3"/>
      <c r="X15" s="3"/>
      <c r="Y15" s="3"/>
      <c r="Z15" s="3"/>
    </row>
    <row r="16" spans="1:26" ht="16">
      <c r="A16" s="6">
        <f>'Task Manager'!B13</f>
        <v>0</v>
      </c>
      <c r="B16" s="7">
        <f>'Task Manager'!D13</f>
        <v>0</v>
      </c>
      <c r="C16" s="7">
        <f>'Task Manager'!E13</f>
        <v>0</v>
      </c>
      <c r="D16" s="6">
        <f t="shared" si="3"/>
        <v>0</v>
      </c>
      <c r="E16" s="3"/>
      <c r="F16" s="3"/>
      <c r="G16" s="3"/>
      <c r="H16" s="3"/>
      <c r="I16" s="3"/>
      <c r="J16" s="3"/>
      <c r="K16" s="3"/>
      <c r="L16" s="3"/>
      <c r="M16" s="3"/>
      <c r="N16" s="3"/>
      <c r="O16" s="3"/>
      <c r="P16" s="3"/>
      <c r="Q16" s="3"/>
      <c r="R16" s="3"/>
      <c r="S16" s="3"/>
      <c r="T16" s="3"/>
      <c r="U16" s="3"/>
      <c r="V16" s="3"/>
      <c r="W16" s="3"/>
      <c r="X16" s="3"/>
      <c r="Y16" s="3"/>
      <c r="Z16" s="3"/>
    </row>
    <row r="17" spans="1:26" ht="16">
      <c r="A17" s="6">
        <f>'Task Manager'!B14</f>
        <v>0</v>
      </c>
      <c r="B17" s="7">
        <f>'Task Manager'!D14</f>
        <v>0</v>
      </c>
      <c r="C17" s="7">
        <f>'Task Manager'!E14</f>
        <v>0</v>
      </c>
      <c r="D17" s="6">
        <f t="shared" si="3"/>
        <v>0</v>
      </c>
      <c r="E17" s="3"/>
      <c r="F17" s="3"/>
      <c r="G17" s="3"/>
      <c r="H17" s="3"/>
      <c r="I17" s="3"/>
      <c r="J17" s="3"/>
      <c r="K17" s="3"/>
      <c r="L17" s="3"/>
      <c r="M17" s="3"/>
      <c r="N17" s="3"/>
      <c r="O17" s="3"/>
      <c r="P17" s="3"/>
      <c r="Q17" s="3"/>
      <c r="R17" s="3"/>
      <c r="S17" s="3"/>
      <c r="T17" s="3"/>
      <c r="U17" s="3"/>
      <c r="V17" s="3"/>
      <c r="W17" s="3"/>
      <c r="X17" s="3"/>
      <c r="Y17" s="3"/>
      <c r="Z17" s="3"/>
    </row>
    <row r="18" spans="1:26" ht="16">
      <c r="A18" s="6">
        <f>'Task Manager'!B15</f>
        <v>0</v>
      </c>
      <c r="B18" s="7">
        <f>'Task Manager'!D15</f>
        <v>0</v>
      </c>
      <c r="C18" s="7">
        <f>'Task Manager'!E15</f>
        <v>0</v>
      </c>
      <c r="D18" s="6">
        <f t="shared" si="3"/>
        <v>0</v>
      </c>
      <c r="E18" s="3"/>
      <c r="F18" s="3"/>
      <c r="G18" s="3"/>
      <c r="H18" s="3"/>
      <c r="I18" s="3"/>
      <c r="J18" s="3"/>
      <c r="K18" s="3"/>
      <c r="L18" s="3"/>
      <c r="M18" s="3"/>
      <c r="N18" s="3"/>
      <c r="O18" s="3"/>
      <c r="P18" s="3"/>
      <c r="Q18" s="3"/>
      <c r="R18" s="3"/>
      <c r="S18" s="3"/>
      <c r="T18" s="3"/>
      <c r="U18" s="3"/>
      <c r="V18" s="3"/>
      <c r="W18" s="3"/>
      <c r="X18" s="3"/>
      <c r="Y18" s="3"/>
      <c r="Z18" s="3"/>
    </row>
    <row r="19" spans="1:26" ht="16">
      <c r="A19" s="6">
        <f>'Task Manager'!B16</f>
        <v>0</v>
      </c>
      <c r="B19" s="7">
        <f>'Task Manager'!D16</f>
        <v>0</v>
      </c>
      <c r="C19" s="7">
        <f>'Task Manager'!E16</f>
        <v>0</v>
      </c>
      <c r="D19" s="6">
        <f t="shared" si="3"/>
        <v>0</v>
      </c>
      <c r="E19" s="3"/>
      <c r="F19" s="3"/>
      <c r="G19" s="3"/>
      <c r="H19" s="3"/>
      <c r="I19" s="3"/>
      <c r="J19" s="3"/>
      <c r="K19" s="3"/>
      <c r="L19" s="3"/>
      <c r="M19" s="3"/>
      <c r="N19" s="3"/>
      <c r="O19" s="3"/>
      <c r="P19" s="3"/>
      <c r="Q19" s="3"/>
      <c r="R19" s="3"/>
      <c r="S19" s="3"/>
      <c r="T19" s="3"/>
      <c r="U19" s="3"/>
      <c r="V19" s="3"/>
      <c r="W19" s="3"/>
      <c r="X19" s="3"/>
      <c r="Y19" s="3"/>
      <c r="Z19" s="3"/>
    </row>
    <row r="20" spans="1:26" ht="16">
      <c r="A20" s="6">
        <f>'Task Manager'!B17</f>
        <v>0</v>
      </c>
      <c r="B20" s="7">
        <f>'Task Manager'!D17</f>
        <v>0</v>
      </c>
      <c r="C20" s="7">
        <f>'Task Manager'!E17</f>
        <v>0</v>
      </c>
      <c r="D20" s="6">
        <f t="shared" si="3"/>
        <v>0</v>
      </c>
      <c r="E20" s="3"/>
      <c r="F20" s="3"/>
      <c r="G20" s="3"/>
      <c r="H20" s="3"/>
      <c r="I20" s="3"/>
      <c r="J20" s="3"/>
      <c r="K20" s="3"/>
      <c r="L20" s="3"/>
      <c r="M20" s="3"/>
      <c r="N20" s="3"/>
      <c r="O20" s="3"/>
      <c r="P20" s="3"/>
      <c r="Q20" s="3"/>
      <c r="R20" s="3"/>
      <c r="S20" s="3"/>
      <c r="T20" s="3"/>
      <c r="U20" s="3"/>
      <c r="V20" s="3"/>
      <c r="W20" s="3"/>
      <c r="X20" s="3"/>
      <c r="Y20" s="3"/>
      <c r="Z20" s="3"/>
    </row>
    <row r="21" spans="1:26" ht="16">
      <c r="A21" s="6">
        <f>'Task Manager'!B18</f>
        <v>0</v>
      </c>
      <c r="B21" s="7">
        <f>'Task Manager'!D18</f>
        <v>0</v>
      </c>
      <c r="C21" s="7">
        <f>'Task Manager'!E18</f>
        <v>0</v>
      </c>
      <c r="D21" s="6">
        <f t="shared" si="3"/>
        <v>0</v>
      </c>
      <c r="E21" s="3"/>
      <c r="F21" s="3"/>
      <c r="G21" s="3"/>
      <c r="H21" s="3"/>
      <c r="I21" s="3"/>
      <c r="J21" s="3"/>
      <c r="K21" s="3"/>
      <c r="L21" s="3"/>
      <c r="M21" s="3"/>
      <c r="N21" s="3"/>
      <c r="O21" s="3"/>
      <c r="P21" s="3"/>
      <c r="Q21" s="3"/>
      <c r="R21" s="3"/>
      <c r="S21" s="3"/>
      <c r="T21" s="3"/>
      <c r="U21" s="3"/>
      <c r="V21" s="3"/>
      <c r="W21" s="3"/>
      <c r="X21" s="3"/>
      <c r="Y21" s="3"/>
      <c r="Z21" s="3"/>
    </row>
    <row r="22" spans="1:26" ht="16">
      <c r="A22" s="6">
        <f>'Task Manager'!B19</f>
        <v>0</v>
      </c>
      <c r="B22" s="7">
        <f>'Task Manager'!D19</f>
        <v>0</v>
      </c>
      <c r="C22" s="7">
        <f>'Task Manager'!E19</f>
        <v>0</v>
      </c>
      <c r="D22" s="6">
        <f t="shared" si="3"/>
        <v>0</v>
      </c>
      <c r="E22" s="3"/>
      <c r="F22" s="3"/>
      <c r="G22" s="3"/>
      <c r="H22" s="3"/>
      <c r="I22" s="3"/>
      <c r="J22" s="3"/>
      <c r="K22" s="3"/>
      <c r="L22" s="3"/>
      <c r="M22" s="3"/>
      <c r="N22" s="3"/>
      <c r="O22" s="3"/>
      <c r="P22" s="3"/>
      <c r="Q22" s="3"/>
      <c r="R22" s="3"/>
      <c r="S22" s="3"/>
      <c r="T22" s="3"/>
      <c r="U22" s="3"/>
      <c r="V22" s="3"/>
      <c r="W22" s="3"/>
      <c r="X22" s="3"/>
      <c r="Y22" s="3"/>
      <c r="Z22" s="3"/>
    </row>
    <row r="23" spans="1:26" ht="16">
      <c r="A23" s="6">
        <f>'Task Manager'!B20</f>
        <v>0</v>
      </c>
      <c r="B23" s="7">
        <f>'Task Manager'!D20</f>
        <v>0</v>
      </c>
      <c r="C23" s="7">
        <f>'Task Manager'!E20</f>
        <v>0</v>
      </c>
      <c r="D23" s="6">
        <f t="shared" si="3"/>
        <v>0</v>
      </c>
      <c r="E23" s="3"/>
      <c r="F23" s="3"/>
      <c r="G23" s="3"/>
      <c r="H23" s="3"/>
      <c r="I23" s="3"/>
      <c r="J23" s="3"/>
      <c r="K23" s="3"/>
      <c r="L23" s="3"/>
      <c r="M23" s="3"/>
      <c r="N23" s="3"/>
      <c r="O23" s="3"/>
      <c r="P23" s="3"/>
      <c r="Q23" s="3"/>
      <c r="R23" s="3"/>
      <c r="S23" s="3"/>
      <c r="T23" s="3"/>
      <c r="U23" s="3"/>
      <c r="V23" s="3"/>
      <c r="W23" s="3"/>
      <c r="X23" s="3"/>
      <c r="Y23" s="3"/>
      <c r="Z23" s="3"/>
    </row>
    <row r="24" spans="1:26" ht="16">
      <c r="A24" s="6"/>
      <c r="B24" s="6"/>
      <c r="C24" s="6"/>
      <c r="D24" s="6"/>
      <c r="E24" s="3"/>
      <c r="F24" s="3"/>
      <c r="G24" s="3"/>
      <c r="H24" s="3"/>
      <c r="I24" s="3"/>
      <c r="J24" s="3"/>
      <c r="K24" s="3"/>
      <c r="L24" s="3"/>
      <c r="M24" s="3"/>
      <c r="N24" s="3"/>
      <c r="O24" s="3"/>
      <c r="P24" s="3"/>
      <c r="Q24" s="3"/>
      <c r="R24" s="3"/>
      <c r="S24" s="3"/>
      <c r="T24" s="3"/>
      <c r="U24" s="3"/>
      <c r="V24" s="3"/>
      <c r="W24" s="3"/>
      <c r="X24" s="3"/>
      <c r="Y24" s="3"/>
      <c r="Z24" s="3"/>
    </row>
    <row r="25" spans="1:26" ht="16">
      <c r="A25" s="6"/>
      <c r="B25" s="6"/>
      <c r="C25" s="6"/>
      <c r="D25" s="6"/>
      <c r="E25" s="3"/>
      <c r="F25" s="3"/>
      <c r="G25" s="3"/>
      <c r="H25" s="3"/>
      <c r="I25" s="3"/>
      <c r="J25" s="3"/>
      <c r="K25" s="3"/>
      <c r="L25" s="3"/>
      <c r="M25" s="3"/>
      <c r="N25" s="3"/>
      <c r="O25" s="3"/>
      <c r="P25" s="3"/>
      <c r="Q25" s="3"/>
      <c r="R25" s="3"/>
      <c r="S25" s="3"/>
      <c r="T25" s="3"/>
      <c r="U25" s="3"/>
      <c r="V25" s="3"/>
      <c r="W25" s="3"/>
      <c r="X25" s="3"/>
      <c r="Y25" s="3"/>
      <c r="Z25" s="3"/>
    </row>
    <row r="26" spans="1:26" ht="16">
      <c r="A26" s="6"/>
      <c r="B26" s="6"/>
      <c r="C26" s="6"/>
      <c r="D26" s="6"/>
      <c r="E26" s="3"/>
      <c r="F26" s="3"/>
      <c r="G26" s="3"/>
      <c r="H26" s="3"/>
      <c r="I26" s="3"/>
      <c r="J26" s="3"/>
      <c r="K26" s="3"/>
      <c r="L26" s="3"/>
      <c r="M26" s="3"/>
      <c r="N26" s="3"/>
      <c r="O26" s="3"/>
      <c r="P26" s="3"/>
      <c r="Q26" s="3"/>
      <c r="R26" s="3"/>
      <c r="S26" s="3"/>
      <c r="T26" s="3"/>
      <c r="U26" s="3"/>
      <c r="V26" s="3"/>
      <c r="W26" s="3"/>
      <c r="X26" s="3"/>
      <c r="Y26" s="3"/>
      <c r="Z26" s="3"/>
    </row>
  </sheetData>
  <conditionalFormatting sqref="E3:Z23">
    <cfRule type="expression" dxfId="0" priority="1">
      <formula>AND($B3&lt;&gt;"",$C3&lt;&gt;"",E$2&gt;=$B3,E$2&lt;=$C3)</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9BCEC-FF8E-40CF-AC0A-455E2B084178}">
  <sheetPr codeName="Sheet6"/>
  <dimension ref="A2:A6"/>
  <sheetViews>
    <sheetView workbookViewId="0">
      <selection activeCell="A9" sqref="A9"/>
    </sheetView>
  </sheetViews>
  <sheetFormatPr baseColWidth="10" defaultColWidth="8.83203125" defaultRowHeight="15"/>
  <sheetData>
    <row r="2" spans="1:1">
      <c r="A2" t="s">
        <v>37</v>
      </c>
    </row>
    <row r="3" spans="1:1">
      <c r="A3" t="s">
        <v>35</v>
      </c>
    </row>
    <row r="4" spans="1:1">
      <c r="A4" t="s">
        <v>36</v>
      </c>
    </row>
    <row r="5" spans="1:1">
      <c r="A5" t="s">
        <v>39</v>
      </c>
    </row>
    <row r="6" spans="1:1">
      <c r="A6" t="s">
        <v>36</v>
      </c>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Communications</vt:lpstr>
      <vt:lpstr>Task Manager</vt:lpstr>
      <vt:lpstr>Scheduling</vt:lpstr>
      <vt:lpstr>Sheet3</vt:lpstr>
      <vt:lpstr>Bhoo</vt:lpstr>
      <vt:lpstr>Indu</vt:lpstr>
      <vt:lpstr>Indusha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Indu</dc:creator>
  <cp:lastModifiedBy>Bill Sheng</cp:lastModifiedBy>
  <dcterms:created xsi:type="dcterms:W3CDTF">2017-11-05T17:17:24Z</dcterms:created>
  <dcterms:modified xsi:type="dcterms:W3CDTF">2018-02-19T01:09:04Z</dcterms:modified>
</cp:coreProperties>
</file>